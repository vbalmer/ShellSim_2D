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C:\Users\vbalmer\Documents\GitHub\ShellSim\04_Training\notes\"/>
    </mc:Choice>
  </mc:AlternateContent>
  <xr:revisionPtr revIDLastSave="0" documentId="13_ncr:1_{533E7D3E-D059-40E7-BCD1-2DFDA09AE026}" xr6:coauthVersionLast="36" xr6:coauthVersionMax="36" xr10:uidLastSave="{00000000-0000-0000-0000-000000000000}"/>
  <bookViews>
    <workbookView xWindow="0" yWindow="0" windowWidth="28800" windowHeight="13305" xr2:uid="{F6D2A066-FBB8-4B4E-AE09-C510B68F3673}"/>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1" i="1" l="1"/>
  <c r="D90" i="1"/>
  <c r="D89" i="1" l="1"/>
  <c r="D88" i="1"/>
  <c r="D87" i="1"/>
  <c r="D86" i="1"/>
  <c r="D85" i="1"/>
</calcChain>
</file>

<file path=xl/sharedStrings.xml><?xml version="1.0" encoding="utf-8"?>
<sst xmlns="http://schemas.openxmlformats.org/spreadsheetml/2006/main" count="895" uniqueCount="328">
  <si>
    <t>Lightning Experiments / Build - up</t>
  </si>
  <si>
    <t>Logbook Vera</t>
  </si>
  <si>
    <t>No.</t>
  </si>
  <si>
    <t>Date</t>
  </si>
  <si>
    <t>CPU / GPU</t>
  </si>
  <si>
    <t>data set</t>
  </si>
  <si>
    <t>initialisation</t>
  </si>
  <si>
    <t>Hyperparameters</t>
  </si>
  <si>
    <t>wandb Link</t>
  </si>
  <si>
    <t>data save</t>
  </si>
  <si>
    <t>Comments / Notes Vera</t>
  </si>
  <si>
    <t>[of training start]</t>
  </si>
  <si>
    <t>architecture</t>
  </si>
  <si>
    <t>batch_size</t>
  </si>
  <si>
    <t>num_epochs</t>
  </si>
  <si>
    <t>activation</t>
  </si>
  <si>
    <t>lr</t>
  </si>
  <si>
    <t>lr_type</t>
  </si>
  <si>
    <t>dropout_rate</t>
  </si>
  <si>
    <t>fourier</t>
  </si>
  <si>
    <t>sobolev</t>
  </si>
  <si>
    <t>w1, w2</t>
  </si>
  <si>
    <t>gradient_clip</t>
  </si>
  <si>
    <t>weight_dec</t>
  </si>
  <si>
    <t>"data_20240823_1752_case4"</t>
  </si>
  <si>
    <t>new</t>
  </si>
  <si>
    <t>10x[64]</t>
  </si>
  <si>
    <t>n.a.</t>
  </si>
  <si>
    <t>nn.ELU</t>
  </si>
  <si>
    <t>ReduceLROnPlateau</t>
  </si>
  <si>
    <t>[0.5, 0.5]</t>
  </si>
  <si>
    <t>data_20240831_0959_case4</t>
  </si>
  <si>
    <t>CPU</t>
  </si>
  <si>
    <t>Only training implemented, no evaluation or testing
Not implemented yet: 
- lr scheduler
- sobolev loss
- gradient clipping
- logging of losses
Works but does not stop at 400 epochs…? - interrupted manually by vera</t>
  </si>
  <si>
    <t>2x[64]</t>
  </si>
  <si>
    <t>constant</t>
  </si>
  <si>
    <t>added max_epochs --&gt; stops after indicated epochs.
--&gt; add some logging + validation to check progress next
--&gt; realised an error in the calculation of the loss (bc I coded based on autoencoder example…) --&gt; removed this error</t>
  </si>
  <si>
    <t>https://wandb.ai/v-balmer/ShellSim_FFNN_v0/runs/phac4lc9</t>
  </si>
  <si>
    <t>n.a. (fast_dev_mode)</t>
  </si>
  <si>
    <t>https://wandb.ai/v-balmer/ShellSim_FFNN_v0/runs/jnro3wvd</t>
  </si>
  <si>
    <t>added visualisation of eval+test loss in same plot</t>
  </si>
  <si>
    <t>https://wandb.ai/v-balmer/ShellSim_FFNN_v0/runs/dbybu7up</t>
  </si>
  <si>
    <t>lightning_logs\version_9</t>
  </si>
  <si>
    <t>lightning_logs\version_3</t>
  </si>
  <si>
    <t>logs\train_log\version_5</t>
  </si>
  <si>
    <t>https://wandb.ai/v-balmer/ShellSim_FFNN_v0_onlyTest</t>
  </si>
  <si>
    <t>logs\train_log\version_8</t>
  </si>
  <si>
    <r>
      <t xml:space="preserve">-added wandb logging
</t>
    </r>
    <r>
      <rPr>
        <b/>
        <sz val="11"/>
        <color theme="9"/>
        <rFont val="Calibri"/>
        <family val="2"/>
        <scheme val="minor"/>
      </rPr>
      <t>--&gt; looks like it is finally overfitting (as I wanted it to!)</t>
    </r>
    <r>
      <rPr>
        <sz val="11"/>
        <color theme="1"/>
        <rFont val="Calibri"/>
        <family val="2"/>
        <scheme val="minor"/>
      </rPr>
      <t xml:space="preserve">
to be added still: 
- see above, important: visualisations
- visualisation of eval + test loss in the same plot
- visualisation of 45° plots --&gt; prediction for every test point required
  https://lightning.ai/docs/pytorch/2.4.0/levels/core_level_6.html</t>
    </r>
  </si>
  <si>
    <t>https://wandb.ai/v-balmer/ShellSim_FFNN_v0_onlyTest/runs/l5bo4oo8</t>
  </si>
  <si>
    <t>added visualisation of 45° plots but only for stresses, incl. predictions in inference stage based on checkpoint</t>
  </si>
  <si>
    <t>logs\train_log\version_8
new_data\data_20241007_1307_casexx</t>
  </si>
  <si>
    <t xml:space="preserve">added visualisation of 45° plots for D
</t>
  </si>
  <si>
    <t>logs\train_log\version_10
new_data\data_20241007_1328_casexx</t>
  </si>
  <si>
    <t>https://wandb.ai/v-balmer/ShellSim_FFNN_v0/runs/4lsw3l1s</t>
  </si>
  <si>
    <t>https://wandb.ai/v-balmer/ShellSim_FFNN_v0/runs/a6jxzbky
https://wandb.ai/v-balmer/ShellSim_FFNN_v0_onlyTest/runs/tn9rx5wg</t>
  </si>
  <si>
    <t>logs\train_log\version_11</t>
  </si>
  <si>
    <t>logs\train_log\version_12</t>
  </si>
  <si>
    <t>included LR Scheduler
-- performance slightly improved</t>
  </si>
  <si>
    <t xml:space="preserve">added dropout rate
-- performance slightly improved
</t>
  </si>
  <si>
    <t> https://wandb.ai/v-balmer/ShellSim_FFNN_v0/runs/e95dfpts
https://wandb.ai/v-balmer/ShellSim_FFNN_v0_onlyTest/runs/fyn0injb</t>
  </si>
  <si>
    <t>4x[64]</t>
  </si>
  <si>
    <t>https://wandb.ai/v-balmer/ShellSim_FFNN_v0/runs/9mb8q6vm
https://wandb.ai/v-balmer/ShellSim_FFNN_v0_onlyTest/runs/lnh95g1e</t>
  </si>
  <si>
    <t>logs\train_log\version_13
data_20241008_0744_casexx</t>
  </si>
  <si>
    <r>
      <t xml:space="preserve">added custom sobolev loss
very slow (time for training: 114 minutes)
no overfitting
</t>
    </r>
    <r>
      <rPr>
        <b/>
        <sz val="11"/>
        <color theme="1"/>
        <rFont val="Calibri"/>
        <family val="2"/>
        <scheme val="minor"/>
      </rPr>
      <t xml:space="preserve">TODO: </t>
    </r>
    <r>
      <rPr>
        <sz val="11"/>
        <color theme="1"/>
        <rFont val="Calibri"/>
        <family val="2"/>
        <scheme val="minor"/>
      </rPr>
      <t xml:space="preserve">
- gradient clipping
- logging lr scheduler</t>
    </r>
  </si>
  <si>
    <t>tried to get overfit. Did not work.
Performance improved.</t>
  </si>
  <si>
    <t>https://wandb.ai/v-balmer/ShellSim_FFNN_v0/runs/onnbvolk</t>
  </si>
  <si>
    <t>checked that the jacobian is also calculated during the evaluation period (that the eval-no-grad mode is overwritten by setting features.requires_grad = True)
--&gt; this should be working correctly (and the eval mode, i.e. no dropout is still active)
--&gt; testing loss has no jacobian at all --&gt; there is error in test loss</t>
  </si>
  <si>
    <t>https://wandb.ai/v-balmer/ShellSim_FFNN_v0/runs/lebj4nry
https://wandb.ai/v-balmer/ShellSim_FFNN_v0_onlyTest/runs/0w4j78ic</t>
  </si>
  <si>
    <t>logs\train_log\version_15
data_20241008_1157_casexx</t>
  </si>
  <si>
    <t>added checkpoint for saving model with best eval loss
--&gt; get much better performance in testing than when using the last model (which would have much worse eval loss)</t>
  </si>
  <si>
    <t>Reduced patience in LR Scheduler
added early-stopping</t>
  </si>
  <si>
    <t>https://wandb.ai/v-balmer/ShellSim_FFNN_v0/runs/jx4ghslf
https://wandb.ai/v-balmer/ShellSim_FFNN_v0_onlyTest/runs/8b0antrn</t>
  </si>
  <si>
    <t>logs\train_log\version_17</t>
  </si>
  <si>
    <t>-separated the Lightning script from original training script (new ipynb)
-added test set
-added logging of losses to the command line output (in lightning)
-checked only in the fast_dev_run mode --&gt; need to check in normal mode</t>
  </si>
  <si>
    <t>started new wandb project 'ShellSim_FFNN_v1'
added wandblogger via lightning</t>
  </si>
  <si>
    <t>Best fit so far (without sobolev)</t>
  </si>
  <si>
    <t>Best fit so far (with sobolev)</t>
  </si>
  <si>
    <t>GPU</t>
  </si>
  <si>
    <t>logs\train_log\version_20
data_20241008_1420_casexx</t>
  </si>
  <si>
    <t>https://wandb.ai/v-balmer/ShellSim_FFNN_v1/runs/ms5s2gxu
https://wandb.ai/v-balmer/ShellSim_FFNN_v1_onlyTest/runs/kok72d3c</t>
  </si>
  <si>
    <t>make it work on GPU (with new yml-file for torch compatible with conda
--&gt; working</t>
  </si>
  <si>
    <t>https://wandb.ai/v-balmer/ShellSim_FFNN_v1/runs/w6h2jyru
https://wandb.ai/v-balmer/ShellSim_FFNN_v1_onlyTest/runs/29gtwcpv</t>
  </si>
  <si>
    <t xml:space="preserve">logs\train_log\version_27
data_20241008_1545_casexx
</t>
  </si>
  <si>
    <t>checking for more speed by using GPU?</t>
  </si>
  <si>
    <t>https://wandb.ai/v-balmer/ShellSim_FFNN_v1/runs/yyysolb6
https://wandb.ai/v-balmer/ShellSim_FFNN_v1_onlyTest/runs/abbcx1ia</t>
  </si>
  <si>
    <t>logs\train_log\version_29
data_20241008_1728_casexx</t>
  </si>
  <si>
    <t>4x[128]</t>
  </si>
  <si>
    <t>running on GPU with sobolev loss
--&gt; working. Comparison of evaluation and training plot on wandb possible
--&gt; comparison of loss1 (sobolev=true) to train_loss (sobolev=false) is possible, maybe set loss1 = train_loss if sobolev=false to make it abundantly clear?
early stopping after 50 epochs</t>
  </si>
  <si>
    <t>added RMSE loss</t>
  </si>
  <si>
    <t>https://wandb.ai/v-balmer/ShellSim_FFNN_v1/runs/uuz5hazi
https://wandb.ai/v-balmer/ShellSim_FFNN_v1_onlyTest/runs/fhl9ke7a</t>
  </si>
  <si>
    <t>logs\train_log\version_30
data_20241008_2117_casexx</t>
  </si>
  <si>
    <t>5x[16]</t>
  </si>
  <si>
    <t>https://wandb.ai/v-balmer/ShellSim_FFNN_v1/runs/zk6gpzk5
https://wandb.ai/v-balmer/ShellSim_FFNN_v1_onlyTest/runs/0r4padco</t>
  </si>
  <si>
    <t>logs\train_log\version_31
data_20241009_0835_casexx</t>
  </si>
  <si>
    <t>2x[128]</t>
  </si>
  <si>
    <t>back to MSE
maybe batch size would need to be adjusted to improve the behaviour of this one…?</t>
  </si>
  <si>
    <t>https://wandb.ai/v-balmer/ShellSim_FFNN_v1/runs/svbryhr6
https://wandb.ai/v-balmer/ShellSim_FFNN_v1_onlyTest/runs/vm016mzr</t>
  </si>
  <si>
    <t>2x[265]</t>
  </si>
  <si>
    <t>4x[32]</t>
  </si>
  <si>
    <t>logs\train_log\version_32
data_20241009_0955_casexx</t>
  </si>
  <si>
    <t>https://wandb.ai/v-balmer/ShellSim_FFNN_v1/runs/c2d450jv
 https://wandb.ai/v-balmer/ShellSim_FFNN_v1_onlyTest/runs/ymtzbuva</t>
  </si>
  <si>
    <t>logs\train_log\version_33
data_20241009_1038_casexx</t>
  </si>
  <si>
    <t>logs\train_log\version_34</t>
  </si>
  <si>
    <t>https://wandb.ai/v-balmer/ShellSim_FFNN_v1/runs/0dv50ym5</t>
  </si>
  <si>
    <t>evaluation loss has very similar behaviour to training before (Nr.20)
no testing carried out - would be similar like Nr.20</t>
  </si>
  <si>
    <t>(based on val loss in best model)</t>
  </si>
  <si>
    <t>https://wandb.ai/v-balmer/ShellSim_FFNN_v1/runs/if0hoxlz
https://wandb.ai/v-balmer/ShellSim_FFNN_v1_onlyTest/runs/kjq6ntgx</t>
  </si>
  <si>
    <t>logs\train_log\version_40</t>
  </si>
  <si>
    <t>before this run, there was some hastle with  github versions…</t>
  </si>
  <si>
    <t>added fixing a seed.
Added loss1 = train loss (for not sobolev)
made weights for sobolev into array</t>
  </si>
  <si>
    <t>https://wandb.ai/v-balmer/ShellSim_FFNN_v1/runs/z48vxn91
https://wandb.ai/v-balmer/ShellSim_FFNN_v1_onlyTest/runs/0sjni3j7</t>
  </si>
  <si>
    <t>logs\train_log\version_43
data_20241009_1403_casexx</t>
  </si>
  <si>
    <t>made the share_step for training, eval and test, works
Result similar to No.15, perhaps even a bit better</t>
  </si>
  <si>
    <t>https://wandb.ai/v-balmer/ShellSim_FFNN_v1/runs/jin2ntdq</t>
  </si>
  <si>
    <t>logs\train_log\version_45</t>
  </si>
  <si>
    <t>2x[32]</t>
  </si>
  <si>
    <t>test the same for including sobolev losses
seeems to be working.
Adjusted the trainer.test, such that it is tested with best_model
didn't carry out any testing except for the testing right after training</t>
  </si>
  <si>
    <t>https://wandb.ai/v-balmer/ShellSim_FFNN_v1/runs/ujdgwe6n</t>
  </si>
  <si>
    <t>logs\train_log\version_46</t>
  </si>
  <si>
    <t>added split_loss (for without sobolev)
eval loss very similar (almost identical) to No. 24</t>
  </si>
  <si>
    <t>logs\train_log\version_47</t>
  </si>
  <si>
    <t>https://wandb.ai/v-balmer/ShellSim_FFNN_v1/runs/uhhq4ahi
https://wandb.ai/v-balmer/ShellSim_FFNN_v1_onlyTest/runs/iuvxry3d</t>
  </si>
  <si>
    <t>played with the weights of splitloss</t>
  </si>
  <si>
    <t>https://wandb.ai/v-balmer/ShellSim_FFNN_v1/runs/qejos77g
https://wandb.ai/v-balmer/ShellSim_FFNN_v1_onlyTest/runs/psk6qg4d</t>
  </si>
  <si>
    <t>played with the weights of splitloss: [0.45, 0.1, 0.45]
Loss gets smaller --&gt; good
but: R^2 remains the same (bad)… the loss only gets smaller because less weight is on the moment loss. This makes that the moment is even less considered during training --&gt; does not change the fit in 45° plot...</t>
  </si>
  <si>
    <t>played with the weights of splitloss: [0.45, 0.1, 0.45]
loss is larger, however the R^2 for the moment in diagonal plots is better (for the trade-off that the n and v values now have worse fits than before…)
--&gt; not sure if this is the right way to go…</t>
  </si>
  <si>
    <t>logs\train_log\version_50</t>
  </si>
  <si>
    <t>https://wandb.ai/v-balmer/ShellSim_FFNN_v1/runs/dwjq2jgj
https://wandb.ai/v-balmer/ShellSim_FFNN_v1_onlyTest/runs/a5xruwf3</t>
  </si>
  <si>
    <t>logs\train_log\version_51</t>
  </si>
  <si>
    <t>https://wandb.ai/v-balmer/ShellSim_FFNN_v1/runs/07k1oj06</t>
  </si>
  <si>
    <t>[0.45, 0.1, 0.45] as weights
did not carry out testing</t>
  </si>
  <si>
    <t>logs\train_log\version_52</t>
  </si>
  <si>
    <t>SplitLoss</t>
  </si>
  <si>
    <t>https://wandb.ai/v-balmer/ShellSim_FFNN_v1/runs/lx8kaom2
https://wandb.ai/v-balmer/ShellSim_FFNN_v1_onlyTest/runs/ubmifo7o</t>
  </si>
  <si>
    <t>almost identical to run No. 25 (where the layers were also composed of 32 nodes each)
--&gt; width of the network does not help. Rather the height is important
also implemented rRMSE. It corresponds to the RMSE in the normalised  data and therefore (in my opinion) makes a lot of sense to use. But: it is very high currently and needs to be reduced to &lt;10%</t>
  </si>
  <si>
    <t>https://wandb.ai/v-balmer/ShellSim_FFNN_v1/runs/t6uajgki
 https://wandb.ai/v-balmer/ShellSim_FFNN_v1_onlyTest/runs/8aiy17be</t>
  </si>
  <si>
    <t>first try of combined Sobolev and SplitLoss
Weights: 'w_Dmbs':[0.4, 0.2, 0.4]; 'w_mbs': [0.1, 0.8, 0.1]
working, gives marginally better val loss than No. 20
not sure whether the best model is working in the test metric… 
rRMSE very bad. Sadly this does not really improve anything.</t>
  </si>
  <si>
    <t>[1, 0]</t>
  </si>
  <si>
    <t>logs\train_log\version_55
data_20241010_1057_casexx</t>
  </si>
  <si>
    <t>https://wandb.ai/v-balmer/ShellSim_FFNN_v1/runs/k9qmlykq</t>
  </si>
  <si>
    <t>2x[1024]</t>
  </si>
  <si>
    <t>test to check whether this experiment is similar in performance to experiment No. 15, where there's no Sobolev loss
--&gt; actually this performs better, but performs worse than Nr. 28 because it does not have the weights
did not carry out testing with 45°plots</t>
  </si>
  <si>
    <t xml:space="preserve">added num_workers = 4 in the dataloaders (speed difficult to measure as simultaneously increased size of network…)
</t>
  </si>
  <si>
    <t>logs\train_log\version_56</t>
  </si>
  <si>
    <t>https://wandb.ai/v-balmer/ShellSim_FFNN_v1/runs/q38teqph
https://wandb.ai/v-balmer/ShellSim_FFNN_v1_onlyTest/runs/jip8hfbt</t>
  </si>
  <si>
    <t>logs\train_log\version_57
data_20241010_1302_casexx</t>
  </si>
  <si>
    <t>https://wandb.ai/v-balmer/ShellSim_FFNN_v1/runs/corqekl2</t>
  </si>
  <si>
    <t>logs\train_log\version_65</t>
  </si>
  <si>
    <t>patience des LR schedulers auf 1 epoche herabgesetzt. patience = 1 bedeutet dass die val_loss einmal steigen darf bevor sie wieder abfallen sollte, sonst wird LR angepasst.
Patience des early-stopping dafür etwas erhöht  (auf 5)
trainer.test now should really take the best model (as "model" is not passed)
checked this behaviour on non-sobolev (for faster checking), no testing carried out</t>
  </si>
  <si>
    <t>-</t>
  </si>
  <si>
    <t>4x[1024]</t>
  </si>
  <si>
    <t>logs\train_log\version_68</t>
  </si>
  <si>
    <t>https://wandb.ai/v-balmer/ShellSim_FFNN_v1/runs/4gphe8um
https://wandb.ai/v-balmer/ShellSim_FFNN_v1_onlyTest/runs/fnpou1dv</t>
  </si>
  <si>
    <t>goal: try out larger architecture with Sobolev loss (and new LR-scheme implemented in previous trial), started implementing split networks
-- I don’t think that the width of the network helps a lot
but with decrease of learning rate, the model seems to be learning something more again
--&gt; best loss performance of all so far (yet still far from good...)
however: very bad result for rRMSE... --&gt; maybe more weight required on Sobolev Loss?</t>
  </si>
  <si>
    <t>https://wandb.ai/v-balmer/ShellSim_FFNN_v1/runs/lq5byzzk</t>
  </si>
  <si>
    <t>very bad performance, was not worth it to start with such a high learning rate
-&gt; no diagonal plots created.</t>
  </si>
  <si>
    <t>logs\train_log\version_70</t>
  </si>
  <si>
    <t>https://wandb.ai/v-balmer/ShellSim_FFNN_v1/runs/peqoep5e</t>
  </si>
  <si>
    <t>nn.ReLU</t>
  </si>
  <si>
    <t>logs\train_log\version_71</t>
  </si>
  <si>
    <t>2x[2048]</t>
  </si>
  <si>
    <t>changing activation function to ReLU as it was in original Sobolev Paper
--&gt; did not improve compared to previous best (No.35)</t>
  </si>
  <si>
    <t>try out crazy architecture</t>
  </si>
  <si>
    <t>https://wandb.ai/v-balmer/ShellSim_FFNN_v1/runs/omgw4qci</t>
  </si>
  <si>
    <t>logs\train_log\version_73</t>
  </si>
  <si>
    <t>3x[64]</t>
  </si>
  <si>
    <t>logs\train_log\version_75</t>
  </si>
  <si>
    <t>[0,1]</t>
  </si>
  <si>
    <t>try out overfitting to the derivatives (weight of sig is zero)
-- however in the sobolev loss sig/eps = D is still enforced…
fit is already much better than any of previous trainings.</t>
  </si>
  <si>
    <t>5x[512]</t>
  </si>
  <si>
    <t>FASLE</t>
  </si>
  <si>
    <t>https://wandb.ai/v-balmer/ShellSim_FFNN_v1/runs/db4rr1z1
https://wandb.ai/v-balmer/ShellSim_FFNN_v1_onlyTest/runs/d2k44bqx</t>
  </si>
  <si>
    <t>logs\train_log\version_78</t>
  </si>
  <si>
    <t>https://wandb.ai/v-balmer/ShellSim_FFNN_v1/runs/d48wntue
https://wandb.ai/v-balmer/ShellSim_FFNN_v1_onlyTest/runs/kth82tn8</t>
  </si>
  <si>
    <t>increased patience for early stopping to 50
tried with a broader net
increased amount of total epochs to 200
increased lr_factor to 0.5 (from 0.1), increased LR-patience to 3 epochs
--&gt; got better training results
--&gt; as expected (because batch size is rather small), larger fluctuations in training loss --&gt; adjust 
still early stopping after 140 epochs. Maybe increase the patience more...</t>
  </si>
  <si>
    <t>logs\train_log\version_79</t>
  </si>
  <si>
    <t>https://wandb.ai/v-balmer/ShellSim_FFNN_v1/runs/q76072xt
https://wandb.ai/v-balmer/ShellSim_FFNN_v1_onlyTest/runs/vvtwgcgd</t>
  </si>
  <si>
    <t>logs\train_log\version_80</t>
  </si>
  <si>
    <t xml:space="preserve">increased patience for early stopping to 100
added batch normalisation
--&gt; am not using RMSE instead of MSE because it gets difficult to compare losses
adjusted logging settings --&gt; more logs for when training with sobolev
Time required for training: 45 min
</t>
  </si>
  <si>
    <t>removed batchnorm again
num_epochs = 1000
adjusted patience in LR scheduler to 10
time to run: 487min = 8h (?)
stopped at 200 epochs</t>
  </si>
  <si>
    <t>https://wandb.ai/v-balmer/ShellSim_FFNN_v1/runs/3zspkb3j
https://wandb.ai/v-balmer/ShellSim_FFNN_v1_onlyTest/runs/w6olqbax</t>
  </si>
  <si>
    <t>logs\train_log\version_82</t>
  </si>
  <si>
    <t>10x[512]</t>
  </si>
  <si>
    <t>https://wandb.ai/v-balmer/ShellSim_FFNN_v1/runs/ov5khevl
https://wandb.ai/v-balmer/ShellSim_FFNN_v1_onlyTest/runs/p2rqt89r</t>
  </si>
  <si>
    <r>
      <t>Removed early stopping completely
increased batch size to 512
log_every_n_steps = 8
time to run:</t>
    </r>
    <r>
      <rPr>
        <b/>
        <sz val="11"/>
        <color theme="1"/>
        <rFont val="Calibri"/>
        <family val="2"/>
        <scheme val="minor"/>
      </rPr>
      <t xml:space="preserve"> 2219 minutes (=37 hours!!)
has best test loss so far, and lowest avg rRMSE for D and sig
</t>
    </r>
    <r>
      <rPr>
        <sz val="11"/>
        <color theme="1"/>
        <rFont val="Calibri"/>
        <family val="2"/>
        <scheme val="minor"/>
      </rPr>
      <t xml:space="preserve">but: after roughly 300 epochs almost no improvement in training or validation loss is visible...
</t>
    </r>
    <r>
      <rPr>
        <sz val="11"/>
        <rFont val="Calibri"/>
        <family val="2"/>
        <scheme val="minor"/>
      </rPr>
      <t>Realised that the average rRMSE values are sadly not calculated correctly in the graphs (too low...).-&gt; adjusted in test version</t>
    </r>
    <r>
      <rPr>
        <sz val="11"/>
        <color theme="1"/>
        <rFont val="Calibri"/>
        <family val="2"/>
        <scheme val="minor"/>
      </rPr>
      <t xml:space="preserve">
also added possibility to test older versions with the correct inp file by adding the path where this info is saved to the load_data_model function</t>
    </r>
  </si>
  <si>
    <t>Question: Check again Rafi's architecture in Strength-Lab AI paper and see whether it would make sense to have some layers inbetween (also in my case) where there are no dropouts / batchnorms but just fully connected...)
--&gt; am not using RMSE instead of MSE because it gets difficult to compare losses</t>
  </si>
  <si>
    <t>https://wandb.ai/v-balmer/ShellSim_FFNN_v1/runs/5wtj4idq
https://wandb.ai/v-balmer/ShellSim_FFNN_v1_onlyTest/runs/3a2xyvqc</t>
  </si>
  <si>
    <t>logs\train_log\version_98</t>
  </si>
  <si>
    <t>https://wandb.ai/v-balmer/ShellSim_FFNN_v1/runs/8ctfqhno
https://wandb.ai/v-balmer/ShellSim_FFNN_v1_onlyTest/runs/p5rdtqwx</t>
  </si>
  <si>
    <t>added the double network, tested on low level on CPU
missing: LR scheduler, training multiple epochs at a time for one network compared to other
so far: very similar performance to previous network…</t>
  </si>
  <si>
    <t>https://wandb.ai/v-balmer/ShellSim_FFNN_v1/runs/qe799sdo
https://wandb.ai/v-balmer/ShellSim_FFNN_v1_onlyTest/runs/si56yxo6</t>
  </si>
  <si>
    <t>seems to overfit very fast 
rRMSE on sigma is around 42% (not good enough…!)</t>
  </si>
  <si>
    <t>logs\train_log\version_101
new_data\data_20241016_1151_casexx</t>
  </si>
  <si>
    <t xml:space="preserve">seems to overfit as well, trains very similarly to previous run (which makes sense)
--&gt; this is the problem why both don't train well together. 
--&gt; how could the training be improved here? </t>
  </si>
  <si>
    <t>https://wandb.ai/v-balmer/ShellSim_FFNN_v1/runs/jgqwi03u
https://wandb.ai/v-balmer/ShellSim_FFNN_v1_onlyTest/runs/umpupy1f</t>
  </si>
  <si>
    <t xml:space="preserve">logs\train_log\version_102
new_data\data_20241016_1611_casexx
</t>
  </si>
  <si>
    <t>[0.2,0.8]</t>
  </si>
  <si>
    <t>8x[32]</t>
  </si>
  <si>
    <t>https://wandb.ai/v-balmer/ShellSim_FFNN_v1/runs/mj8xakyj
https://wandb.ai/v-balmer/ShellSim_FFNN_v1_onlyTest/runs/imc5b9lo</t>
  </si>
  <si>
    <t>logs\train_log\version_103</t>
  </si>
  <si>
    <t>did not work well at all
--&gt; try Splitting Nets of sig-prediction</t>
  </si>
  <si>
    <t>logs\train_log\version_106, 7, 8</t>
  </si>
  <si>
    <t>trained three separate nets for m, b, s
--&gt; improved training for membrane and shear; bending: difficult
--&gt; larger net required? 
Careful: Logging steps are all in correct order of training but epochs were overwritten --&gt; can only see the training of shear for train-epoch plot
--&gt; to be adjusted by Vera</t>
  </si>
  <si>
    <t>https://wandb.ai/v-balmer/ShellSim_FFNN_v1/runs/wu18g4gp</t>
  </si>
  <si>
    <r>
      <t>to check whether the training on purely Loss 2 could potentially also overfit?
Is taking a very long time to train…
overfitting was not possible, however a very low rRMSE for the D-network (6%)</t>
    </r>
    <r>
      <rPr>
        <b/>
        <sz val="14"/>
        <color theme="9"/>
        <rFont val="Calibri"/>
        <family val="2"/>
        <scheme val="minor"/>
      </rPr>
      <t xml:space="preserve">
BEST MODEL FOR D PURELY</t>
    </r>
  </si>
  <si>
    <t>logs\train_log\version_83_main
data_20241015_0822_casexx</t>
  </si>
  <si>
    <t>https://wandb.ai/v-balmer/ShellSim_FFNN_v1/runs/aql83ctj</t>
  </si>
  <si>
    <t xml:space="preserve">added the testing for split_net
tried to increase size of net for improved training.
Some complications inbetween due to remote desktop
Logging still not entirely working nicely… :/ </t>
  </si>
  <si>
    <t>logs\train_log\version_114, 15, 16</t>
  </si>
  <si>
    <t>5x[64]
5x[512]
5x[64]</t>
  </si>
  <si>
    <t>test run to check how it is logging</t>
  </si>
  <si>
    <t>https://wandb.ai/v-balmer/ShellSim_FFNN_v1/runs/ost6ma9h
AND 
 https://wandb.ai/v-balmer/ShellSim_FFNN_v1/runs/5b8s6nrg</t>
  </si>
  <si>
    <t>https://wandb.ai/v-balmer/ShellSim_FFNN_v1/runs/99aw2pv3</t>
  </si>
  <si>
    <t>5x[512]
5x[512]
5x[64]</t>
  </si>
  <si>
    <t>3x [128]+2x[64]</t>
  </si>
  <si>
    <t>0.001
0.0001
0.001</t>
  </si>
  <si>
    <t xml:space="preserve">logs\train_log\version_119
(_m, _b, _v)
</t>
  </si>
  <si>
    <t>logs\train_log\version_120
(_m, _b, _v)</t>
  </si>
  <si>
    <t>slightly better rRMSE but not below 10 % yet for all membrane and shear…
--&gt; increase net size for next try
--&gt; bending: massive overfit still.. For next try iincrease dropout rate</t>
  </si>
  <si>
    <t>https://wandb.ai/v-balmer/ShellSim_FFNN_v1/runs/h0ngdg39</t>
  </si>
  <si>
    <t>logs\train_log\version_121</t>
  </si>
  <si>
    <t>5x[265]</t>
  </si>
  <si>
    <t>0.1
0.4
0.1</t>
  </si>
  <si>
    <t>increased dropout rate for m-net, increased size of net for all
increased dropout-rate leads to much better loss1 in m-net (less oscillations), but loss remains rather high! However, val_loss decreases much further compared to previous trainings (nice!)</t>
  </si>
  <si>
    <t>5x[512]
5x[265]
5x[265]</t>
  </si>
  <si>
    <t>0.2
0.4
0.1</t>
  </si>
  <si>
    <t>https://wandb.ai/v-balmer/ShellSim_FFNN_v1/runs/f4r8f9ne
https://wandb.ai/v-balmer/ShellSim_FFNN_v1_onlyTest/runs/549dna1b</t>
  </si>
  <si>
    <t>increased amount of training epochs, increased LR scheduler for M again, added dropout for N, increased size of network for N
&gt; training of B-net worse than before
&gt; training of M, N-net okay, better than before</t>
  </si>
  <si>
    <t>5x[64]</t>
  </si>
  <si>
    <t>https://wandb.ai/v-balmer/ShellSim_FFNN_v1/runs/r9gmzow4
https://wandb.ai/v-balmer/ShellSim_FFNN_v1_onlyTest/runs/hvjxkd6p</t>
  </si>
  <si>
    <t>logs\train_log\version_123</t>
  </si>
  <si>
    <t>logs\train_log\version_124</t>
  </si>
  <si>
    <t>https://wandb.ai/v-balmer/ShellSim_FFNN_v1/runs/jhpgel3v</t>
  </si>
  <si>
    <t>logs\train_log\version_128</t>
  </si>
  <si>
    <t>"data_20241022_1153_case4"</t>
  </si>
  <si>
    <t>5x[128]
5x[128]
3x[64]</t>
  </si>
  <si>
    <t>https://wandb.ai/v-balmer/ShellSim_FFNN_v1/runs/hhbggbdu</t>
  </si>
  <si>
    <t>logs\train_log\version_129</t>
  </si>
  <si>
    <r>
      <t xml:space="preserve">with new data set that has the correct units
just training sigma though, no D-sig interaction.
</t>
    </r>
    <r>
      <rPr>
        <b/>
        <sz val="11"/>
        <color theme="1"/>
        <rFont val="Calibri"/>
        <family val="2"/>
        <scheme val="minor"/>
      </rPr>
      <t>But will try to get D-sig interction as next quest again</t>
    </r>
    <r>
      <rPr>
        <sz val="11"/>
        <color theme="1"/>
        <rFont val="Calibri"/>
        <family val="2"/>
        <scheme val="minor"/>
      </rPr>
      <t xml:space="preserve"> later</t>
    </r>
  </si>
  <si>
    <t>larger net for membrane, bending
--&gt; try to improve fit</t>
  </si>
  <si>
    <t>logs\train_log\version_130</t>
  </si>
  <si>
    <t>10x[128]
10x[128]
3x[64]</t>
  </si>
  <si>
    <t>https://wandb.ai/v-balmer/ShellSim_FFNN_v1/runs/36tika5w
https://wandb.ai/v-balmer/ShellSim_FFNN_v1_onlyTest/runs/3e4ybxpz</t>
  </si>
  <si>
    <t>increased size of network again
--&gt; did not really help.
--&gt; implement new net with fewer inputs and only single output --&gt; individual losses and optimisers</t>
  </si>
  <si>
    <t>'data\data_20241022_1853_case4'</t>
  </si>
  <si>
    <t>new data again (with different outfile)</t>
  </si>
  <si>
    <t>logs\train_log\version_131</t>
  </si>
  <si>
    <t>https://wandb.ai/v-balmer/ShellSim_FFNN_v1/runs/2hrsaiee
 https://wandb.ai/v-balmer/ShellSim_FFNN_v1_onlyTest/runs/bedv0tyr</t>
  </si>
  <si>
    <t>[64, 128, 128, 64]</t>
  </si>
  <si>
    <t>logs\train_log\version_132</t>
  </si>
  <si>
    <t>https://wandb.ai/v-balmer/ShellSim_FFNN_v1/runs/mxwvxnqe
https://wandb.ai/v-balmer/ShellSim_FFNN_v1_onlyTest/runs/mp2qyz1x</t>
  </si>
  <si>
    <t xml:space="preserve">tried out to get the same results as the students got
actually works rather well!
--&gt; try out for more epochs; check reesult. </t>
  </si>
  <si>
    <t>cleaned up the code, created the helper-function "train_utils"</t>
  </si>
  <si>
    <t>https://wandb.ai/v-balmer/ShellSim_FFNN_v1/runs/9o3huxmx</t>
  </si>
  <si>
    <t>logs\train_log\version_133</t>
  </si>
  <si>
    <t>logs\train_log\version_134</t>
  </si>
  <si>
    <t>more epochs --&gt; better training?</t>
  </si>
  <si>
    <t>https://wandb.ai/v-balmer/ShellSim_FFNN_v1/runs/zvq5p25w
https://wandb.ai/v-balmer/ShellSim_FFNN_v1_onlyTest/runs/u1laugjh</t>
  </si>
  <si>
    <t>logs\train_log\version_135</t>
  </si>
  <si>
    <t>added weight decay</t>
  </si>
  <si>
    <t>https://wandb.ai/v-balmer/ShellSim_FFNN_v1/runs/pis7pg7t
https://wandb.ai/v-balmer/ShellSim_FFNN_v1_onlyTest/runs/o8jsw554</t>
  </si>
  <si>
    <t>logs\train_log\version_136</t>
  </si>
  <si>
    <t>removed dropout, reduced batch size
&gt; overfits very fast, not ok</t>
  </si>
  <si>
    <t>https://wandb.ai/v-balmer/ShellSim_FFNN_v1/runs/fqs1m1s0</t>
  </si>
  <si>
    <t>TRUE (3)</t>
  </si>
  <si>
    <t>logs\train_log\version_146</t>
  </si>
  <si>
    <t>https://wandb.ai/v-balmer/ShellSim_FFNN_v1/runs/4xeuh0a6
https://wandb.ai/v-balmer/ShellSim_FFNN_v1_onlyTest/runs/gaiwdgdu</t>
  </si>
  <si>
    <t xml:space="preserve">overfitting of the second net again very "fast"
otherwise rather good results for the loss </t>
  </si>
  <si>
    <t>https://wandb.ai/v-balmer/ShellSim_FFNN_v1/runs/2ln7jfs9?nw=nwuservbalmer
https://wandb.ai/v-balmer/ShellSim_FFNN_v1_onlyTest/runs/ajkavowk</t>
  </si>
  <si>
    <t>logs\train_log\version_149
(model 0…7)</t>
  </si>
  <si>
    <t>TRUE (8)</t>
  </si>
  <si>
    <t>LR Scheduler (torch)</t>
  </si>
  <si>
    <t>https://wandb.ai/v-balmer/ShellSim_FFNN_v1/runs/640owuhf
https://wandb.ai/v-balmer/ShellSim_FFNN_v1_onlyTest/runs/wpiam3or</t>
  </si>
  <si>
    <t>logs\train_log\version_151</t>
  </si>
  <si>
    <r>
      <t xml:space="preserve">trained 8 separate nets. Did not really work much better…
--&gt; but all with same size, can be adjusted for every single net
--&gt; to be done (tomorrow, but already overfitting for m-models --&gt; </t>
    </r>
    <r>
      <rPr>
        <b/>
        <sz val="10"/>
        <color theme="1"/>
        <rFont val="Calibri"/>
        <family val="2"/>
        <scheme val="minor"/>
      </rPr>
      <t>gradient clipping? (or adding dropout layers)</t>
    </r>
  </si>
  <si>
    <t>stopped to early. Increased patience
but for some reason I don't get the same results as the students…
very similar to run Nr. 63
but ReduceLROnPlateau seems better than LR Scheduler (torch)</t>
  </si>
  <si>
    <t>logs\train_log\version_155</t>
  </si>
  <si>
    <t>try with large network 
patience = 100 (for early stopping)
run over night)</t>
  </si>
  <si>
    <t>https://wandb.ai/v-balmer/ShellSim_FFNN_v1/runs/kjfd3d2e
https://wandb.ai/v-balmer/ShellSim_FFNN_v1_onlyTest/runs/i0dr65zs</t>
  </si>
  <si>
    <t>more complex…</t>
  </si>
  <si>
    <r>
      <t xml:space="preserve">patience for learning rate scheduler is too large (val loss makes huge jumps…)
very long runtime!
</t>
    </r>
    <r>
      <rPr>
        <b/>
        <sz val="10"/>
        <color theme="1"/>
        <rFont val="Calibri"/>
        <family val="2"/>
        <scheme val="minor"/>
      </rPr>
      <t>Test on CPU as there was no disk space on GPU!</t>
    </r>
  </si>
  <si>
    <t>logs\train_log\version_157…63</t>
  </si>
  <si>
    <t>separate logs for every model
--&gt; https://wandb.ai/v-balmer/ShellSim_FFNN_vp?nw=nwuservbalmer 
https://wandb.ai/v-balmer/ShellSim_FFNN_v1_onlyTest/runs/9t8xxdvu</t>
  </si>
  <si>
    <t>[64, 128, 128, 64] 
for all 8 nets</t>
  </si>
  <si>
    <t>logs\train_log\version_...?</t>
  </si>
  <si>
    <t>starting from https://wandb.ai/v-balmer/ShellSim_FFNN_vp/runs/pv2xkyqt (then the next 8)</t>
  </si>
  <si>
    <t>try with smaller network and smaller amount of total epochs.
The M-Models overfit rather fast. The training is worse than when training all together.</t>
  </si>
  <si>
    <t>data\data_20241022_1853_case4</t>
  </si>
  <si>
    <t>logs\train_log\version_173</t>
  </si>
  <si>
    <t>test run that simple net is still working (just sigma, no splits, no pretrained net).
Is working</t>
  </si>
  <si>
    <t>https://wandb.ai/v-balmer/ShellSim_FFNN_v1/runs/34dqye6b
https://wandb.ai/v-balmer/ShellSim_FFNN_v1_onlyTest/runs/pfybjlis</t>
  </si>
  <si>
    <t>implemented pretrained model and trained 10 epochs without sobolev loss (for newly added layers)
--&gt; it is taking ages… consider increasing the batch size</t>
  </si>
  <si>
    <t xml:space="preserve">https://wandb.ai/v-balmer/ShellSim_FFNN_v1/runs/m3lod707
https://wandb.ai/v-balmer/ShellSim_FFNN_v1_onlyTest/runs/ossb5xtq
</t>
  </si>
  <si>
    <t>logs\train_log\version_178
data_20241029_1531_casexx</t>
  </si>
  <si>
    <t>logs\train_log\version_180</t>
  </si>
  <si>
    <t>https://wandb.ai/v-balmer/ShellSim_FFNN_v1/runs/42dr4xe2
https://wandb.ai/v-balmer/ShellSim_FFNN_v1_onlyTest/runs/qiu3i2ma</t>
  </si>
  <si>
    <t>pretrained with sobolev
avg rRMSE for sig: 71%;; avg rRMSE for D: 75%</t>
  </si>
  <si>
    <t xml:space="preserve">https://wandb.ai/v-balmer/ShellSim_FFNN_v1/runs/0854edyl </t>
  </si>
  <si>
    <t>logs\train_log\version_181</t>
  </si>
  <si>
    <t>increased batch size, added py-file itself instead of jupyter notebook
stopped after 100 epochs -- to adjust architecture</t>
  </si>
  <si>
    <t>10'000</t>
  </si>
  <si>
    <t>[512, 512, 512, 512]</t>
  </si>
  <si>
    <t xml:space="preserve">https://wandb.ai/v-balmer/ShellSim_FFNN_v1/runs/xk7h2jza?nw=nwuservbalmer </t>
  </si>
  <si>
    <t>C:\Users\3duser\Desktop\rrust\ShellSim\logs\train_log\version_2</t>
  </si>
  <si>
    <t>increased batch size…
to be tested… saved model was overwritten…</t>
  </si>
  <si>
    <t>added validation loss; added saving folder with data, inp and model for testing; 
--&gt; added testing with model for "simple" training case
--&gt; testing implemented</t>
  </si>
  <si>
    <t>new_data\\_simple_logs\\v_2</t>
  </si>
  <si>
    <t xml:space="preserve">https://wandb.ai/v-balmer/ShellSim_FFNN_v1/runs/zznxa0ot?nw=nwuservbalmer </t>
  </si>
  <si>
    <t>new_data\\_simple_logs\\v_3</t>
  </si>
  <si>
    <t>Careful: still needs testing, needs to be checked that the correct back-transformation happens!</t>
  </si>
  <si>
    <t>=dataset size</t>
  </si>
  <si>
    <t>new_data\\_simple_logs\\v_7</t>
  </si>
  <si>
    <t xml:space="preserve">https://wandb.ai/v-balmer/ShellSim_FFNN_v1/runs/5p49p1j7/logs </t>
  </si>
  <si>
    <t>realised that standard distribution works better than maximin. 
(Maximin would be better for uniformly distributed data but is not good for standard distributed data)
implemented reading best model based on eval loss into mike^s code.
Got rRMSE of 38%.
test plots are now also automatically saved to _simple_logs</t>
  </si>
  <si>
    <t>8x[512]</t>
  </si>
  <si>
    <t>new_data\\_simple_logs\\v_8</t>
  </si>
  <si>
    <t xml:space="preserve">https://wandb.ai/v-balmer/ShellSim_FFNN_v1/runs/789h108p </t>
  </si>
  <si>
    <t xml:space="preserve">https://wandb.ai/v-balmer/ShellSim_FFNN_v1/runs/3mvac819 </t>
  </si>
  <si>
    <t>new_data\\_simple_logs\\v_9</t>
  </si>
  <si>
    <t>avg rRMSE = 30%
Runtime much faster than any trial before.</t>
  </si>
  <si>
    <t>.</t>
  </si>
  <si>
    <t xml:space="preserve">https://wandb.ai/v-balmer/ShellSim_FFNN_v1/runs/wmzvh4cm </t>
  </si>
  <si>
    <t>avg rRMSE = 30% (only on sig…)
Runtime much faster than any trial before.</t>
  </si>
  <si>
    <t>https://wandb.ai/v-balmer/ShellSim_FFNN_v1/runs/nvjtx2fq</t>
  </si>
  <si>
    <t>new_data\felix and v_11</t>
  </si>
  <si>
    <t>new_data\\_simple_logs\\v_12</t>
  </si>
  <si>
    <t>mit felix's super speed code genau dasselbe wie obige aber schneller!!
Saved the files manually to v_11
testing shows best avg error so far…</t>
  </si>
  <si>
    <t>careful: here the validation loss is calculated only on the sig-values, not on D
--&gt; makes kind-of sense to me…
takes ages to calculate (ca. 1minute per epoch…)
interrupted after 500 epochs (and saved to v_12, with wrong inp flie --&gt; don't use v_12) for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</si>
</sst>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E+00"/>
  </numFmts>
  <fonts count="8" x14ac:knownFonts="1">
    <font>
      <sz val="11"/>
      <color theme="1"/>
      <name val="Calibri"/>
      <family val="2"/>
      <scheme val="minor"/>
    </font>
    <font>
      <u/>
      <sz val="11"/>
      <color theme="10"/>
      <name val="Calibri"/>
      <family val="2"/>
      <scheme val="minor"/>
    </font>
    <font>
      <sz val="11"/>
      <name val="Calibri"/>
      <family val="2"/>
      <scheme val="minor"/>
    </font>
    <font>
      <b/>
      <sz val="10"/>
      <color theme="1"/>
      <name val="Calibri"/>
      <family val="2"/>
      <scheme val="minor"/>
    </font>
    <font>
      <sz val="10"/>
      <color theme="1"/>
      <name val="Calibri"/>
      <family val="2"/>
      <scheme val="minor"/>
    </font>
    <font>
      <b/>
      <sz val="11"/>
      <color theme="1"/>
      <name val="Calibri"/>
      <family val="2"/>
      <scheme val="minor"/>
    </font>
    <font>
      <b/>
      <sz val="11"/>
      <color theme="9"/>
      <name val="Calibri"/>
      <family val="2"/>
      <scheme val="minor"/>
    </font>
    <font>
      <b/>
      <sz val="14"/>
      <color theme="9"/>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bgColor indexed="64"/>
      </patternFill>
    </fill>
    <fill>
      <patternFill patternType="solid">
        <fgColor rgb="FFFFFF00"/>
        <bgColor indexed="64"/>
      </patternFill>
    </fill>
  </fills>
  <borders count="12">
    <border>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155">
    <xf numFmtId="0" fontId="0" fillId="0" borderId="0" xfId="0"/>
    <xf numFmtId="0" fontId="0" fillId="0" borderId="2" xfId="0" applyBorder="1" applyAlignment="1">
      <alignment horizontal="left" vertical="top"/>
    </xf>
    <xf numFmtId="0" fontId="0" fillId="0" borderId="0" xfId="0" applyBorder="1" applyAlignment="1">
      <alignment horizontal="center" vertical="top"/>
    </xf>
    <xf numFmtId="0" fontId="0" fillId="0" borderId="0" xfId="0" applyFill="1" applyBorder="1" applyAlignment="1">
      <alignment horizontal="center" vertical="top"/>
    </xf>
    <xf numFmtId="0" fontId="0" fillId="0" borderId="1" xfId="0" applyBorder="1" applyAlignment="1">
      <alignment horizontal="center" vertical="top"/>
    </xf>
    <xf numFmtId="0" fontId="2" fillId="0" borderId="2" xfId="1" applyFont="1" applyBorder="1" applyAlignment="1">
      <alignment vertical="top" readingOrder="1"/>
    </xf>
    <xf numFmtId="0" fontId="3" fillId="0" borderId="0" xfId="0" applyFont="1" applyAlignment="1"/>
    <xf numFmtId="0" fontId="4" fillId="0" borderId="0" xfId="0" applyFont="1"/>
    <xf numFmtId="0" fontId="3" fillId="2" borderId="0" xfId="0" applyFont="1" applyFill="1" applyBorder="1" applyAlignment="1">
      <alignment vertical="top"/>
    </xf>
    <xf numFmtId="0" fontId="3" fillId="2" borderId="1" xfId="0" applyFont="1" applyFill="1" applyBorder="1" applyAlignment="1">
      <alignment vertical="top"/>
    </xf>
    <xf numFmtId="0" fontId="3" fillId="2" borderId="2" xfId="0" applyFont="1" applyFill="1" applyBorder="1" applyAlignment="1">
      <alignment vertical="top"/>
    </xf>
    <xf numFmtId="0" fontId="4" fillId="2" borderId="3" xfId="0" applyFont="1" applyFill="1" applyBorder="1" applyAlignment="1">
      <alignment vertical="top"/>
    </xf>
    <xf numFmtId="0" fontId="4" fillId="2" borderId="4" xfId="0" applyFont="1" applyFill="1" applyBorder="1" applyAlignment="1">
      <alignment vertical="top"/>
    </xf>
    <xf numFmtId="0" fontId="4" fillId="2" borderId="5" xfId="0" applyFont="1" applyFill="1" applyBorder="1" applyAlignment="1">
      <alignment vertical="top"/>
    </xf>
    <xf numFmtId="0" fontId="4" fillId="2" borderId="6" xfId="0" applyFont="1" applyFill="1" applyBorder="1" applyAlignment="1">
      <alignment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0" fillId="0" borderId="0" xfId="0" applyFill="1" applyBorder="1" applyAlignment="1">
      <alignment horizontal="left" vertical="top" wrapText="1"/>
    </xf>
    <xf numFmtId="0" fontId="0" fillId="0" borderId="0" xfId="0" applyBorder="1" applyAlignment="1">
      <alignment vertical="top"/>
    </xf>
    <xf numFmtId="14" fontId="0" fillId="0" borderId="1" xfId="0" applyNumberFormat="1" applyBorder="1" applyAlignment="1">
      <alignment vertical="top"/>
    </xf>
    <xf numFmtId="0" fontId="0" fillId="0" borderId="2" xfId="0" applyBorder="1" applyAlignment="1">
      <alignment vertical="top"/>
    </xf>
    <xf numFmtId="0" fontId="4" fillId="2" borderId="5" xfId="0" applyFont="1" applyFill="1" applyBorder="1" applyAlignment="1">
      <alignment horizontal="center" vertical="top"/>
    </xf>
    <xf numFmtId="0" fontId="0" fillId="0" borderId="0" xfId="0" quotePrefix="1" applyFill="1" applyBorder="1" applyAlignment="1">
      <alignment horizontal="left" vertical="top" wrapText="1"/>
    </xf>
    <xf numFmtId="0" fontId="1" fillId="0" borderId="0" xfId="1"/>
    <xf numFmtId="0" fontId="1" fillId="0" borderId="0" xfId="1" applyAlignment="1">
      <alignment vertical="top"/>
    </xf>
    <xf numFmtId="0" fontId="0" fillId="0" borderId="7" xfId="0" applyBorder="1" applyAlignment="1">
      <alignment vertical="top"/>
    </xf>
    <xf numFmtId="14" fontId="0" fillId="0" borderId="8" xfId="0" applyNumberFormat="1" applyBorder="1" applyAlignment="1">
      <alignment vertical="top"/>
    </xf>
    <xf numFmtId="0" fontId="0" fillId="0" borderId="8" xfId="0" applyBorder="1" applyAlignment="1">
      <alignment horizontal="center" vertical="top"/>
    </xf>
    <xf numFmtId="0" fontId="0" fillId="0" borderId="9" xfId="0" applyBorder="1" applyAlignment="1">
      <alignment vertical="top"/>
    </xf>
    <xf numFmtId="0" fontId="0" fillId="0" borderId="9" xfId="0" applyBorder="1" applyAlignment="1">
      <alignment horizontal="left" vertical="top"/>
    </xf>
    <xf numFmtId="0" fontId="0" fillId="0" borderId="7" xfId="0" applyBorder="1" applyAlignment="1">
      <alignment horizontal="center" vertical="top"/>
    </xf>
    <xf numFmtId="0" fontId="0" fillId="0" borderId="7" xfId="0" applyFill="1" applyBorder="1" applyAlignment="1">
      <alignment horizontal="center" vertical="top"/>
    </xf>
    <xf numFmtId="0" fontId="2" fillId="0" borderId="9" xfId="1" applyFont="1" applyBorder="1" applyAlignment="1">
      <alignment vertical="top" readingOrder="1"/>
    </xf>
    <xf numFmtId="0" fontId="0" fillId="0" borderId="7" xfId="0" applyFill="1" applyBorder="1" applyAlignment="1">
      <alignment horizontal="left" vertical="top" wrapText="1"/>
    </xf>
    <xf numFmtId="0" fontId="0" fillId="0" borderId="10" xfId="0" applyBorder="1" applyAlignment="1">
      <alignment horizontal="center" vertical="top"/>
    </xf>
    <xf numFmtId="0" fontId="0" fillId="3" borderId="0" xfId="0" applyFill="1" applyBorder="1" applyAlignment="1">
      <alignment horizontal="center" vertical="top"/>
    </xf>
    <xf numFmtId="0" fontId="0" fillId="3" borderId="7" xfId="0" applyFill="1" applyBorder="1" applyAlignment="1">
      <alignment horizontal="center" vertical="top"/>
    </xf>
    <xf numFmtId="0" fontId="1" fillId="0" borderId="7" xfId="1" applyBorder="1" applyAlignment="1">
      <alignment vertical="top"/>
    </xf>
    <xf numFmtId="0" fontId="2" fillId="0" borderId="2" xfId="1" applyFont="1" applyBorder="1" applyAlignment="1">
      <alignment vertical="top" wrapText="1" readingOrder="1"/>
    </xf>
    <xf numFmtId="0" fontId="1" fillId="0" borderId="0" xfId="1" applyAlignment="1">
      <alignment vertical="top" wrapText="1"/>
    </xf>
    <xf numFmtId="0" fontId="1" fillId="0" borderId="0" xfId="1" applyAlignment="1">
      <alignment wrapText="1"/>
    </xf>
    <xf numFmtId="0" fontId="0" fillId="0" borderId="3" xfId="0" applyBorder="1" applyAlignment="1">
      <alignment vertical="top"/>
    </xf>
    <xf numFmtId="14" fontId="0" fillId="0" borderId="4" xfId="0" applyNumberFormat="1" applyBorder="1" applyAlignment="1">
      <alignment vertical="top"/>
    </xf>
    <xf numFmtId="0" fontId="0" fillId="0" borderId="4" xfId="0" applyBorder="1" applyAlignment="1">
      <alignment horizontal="center" vertical="top"/>
    </xf>
    <xf numFmtId="0" fontId="0" fillId="0" borderId="6" xfId="0" applyBorder="1" applyAlignment="1">
      <alignment vertical="top"/>
    </xf>
    <xf numFmtId="0" fontId="0" fillId="0" borderId="6" xfId="0" applyBorder="1" applyAlignment="1">
      <alignment horizontal="left" vertical="top"/>
    </xf>
    <xf numFmtId="0" fontId="0" fillId="0" borderId="3" xfId="0" applyBorder="1" applyAlignment="1">
      <alignment horizontal="center" vertical="top"/>
    </xf>
    <xf numFmtId="0" fontId="0" fillId="0" borderId="3" xfId="0" applyFill="1" applyBorder="1" applyAlignment="1">
      <alignment horizontal="center" vertical="top"/>
    </xf>
    <xf numFmtId="0" fontId="1" fillId="0" borderId="6" xfId="1" applyBorder="1" applyAlignment="1">
      <alignment vertical="top" wrapText="1" readingOrder="1"/>
    </xf>
    <xf numFmtId="0" fontId="2" fillId="0" borderId="6" xfId="1" applyFont="1" applyBorder="1" applyAlignment="1">
      <alignment vertical="top" wrapText="1" readingOrder="1"/>
    </xf>
    <xf numFmtId="0" fontId="0" fillId="0" borderId="3" xfId="0" applyFill="1" applyBorder="1" applyAlignment="1">
      <alignment horizontal="left" vertical="top" wrapText="1"/>
    </xf>
    <xf numFmtId="0" fontId="0" fillId="4" borderId="7" xfId="0" applyFill="1" applyBorder="1" applyAlignment="1">
      <alignment vertical="top"/>
    </xf>
    <xf numFmtId="14" fontId="0" fillId="4" borderId="8" xfId="0" applyNumberFormat="1" applyFill="1" applyBorder="1" applyAlignment="1">
      <alignment vertical="top"/>
    </xf>
    <xf numFmtId="0" fontId="0" fillId="4" borderId="8" xfId="0" applyFill="1" applyBorder="1" applyAlignment="1">
      <alignment horizontal="center" vertical="top"/>
    </xf>
    <xf numFmtId="0" fontId="0" fillId="4" borderId="9" xfId="0" applyFill="1" applyBorder="1" applyAlignment="1">
      <alignment vertical="top"/>
    </xf>
    <xf numFmtId="0" fontId="0" fillId="4" borderId="9" xfId="0" applyFill="1" applyBorder="1" applyAlignment="1">
      <alignment horizontal="left" vertical="top"/>
    </xf>
    <xf numFmtId="0" fontId="0" fillId="4" borderId="10" xfId="0" applyFill="1" applyBorder="1" applyAlignment="1">
      <alignment horizontal="center" vertical="top"/>
    </xf>
    <xf numFmtId="0" fontId="0" fillId="4" borderId="7" xfId="0" applyFill="1" applyBorder="1" applyAlignment="1">
      <alignment horizontal="center" vertical="top"/>
    </xf>
    <xf numFmtId="0" fontId="0" fillId="4" borderId="7" xfId="0" applyFill="1" applyBorder="1" applyAlignment="1">
      <alignment horizontal="left" vertical="top" wrapText="1"/>
    </xf>
    <xf numFmtId="0" fontId="4" fillId="4" borderId="0" xfId="0" applyFont="1" applyFill="1"/>
    <xf numFmtId="0" fontId="2" fillId="4" borderId="9" xfId="1" applyFont="1" applyFill="1" applyBorder="1" applyAlignment="1">
      <alignment vertical="top" wrapText="1" readingOrder="1"/>
    </xf>
    <xf numFmtId="0" fontId="4" fillId="0" borderId="0" xfId="0" applyFont="1" applyAlignment="1">
      <alignment vertical="top"/>
    </xf>
    <xf numFmtId="0" fontId="1" fillId="4" borderId="9" xfId="1" applyFill="1" applyBorder="1" applyAlignment="1">
      <alignment vertical="top" wrapText="1"/>
    </xf>
    <xf numFmtId="0" fontId="4" fillId="5" borderId="0" xfId="0" applyFont="1" applyFill="1"/>
    <xf numFmtId="0" fontId="0" fillId="0" borderId="0" xfId="0" applyFill="1" applyBorder="1" applyAlignment="1">
      <alignment vertical="top"/>
    </xf>
    <xf numFmtId="14" fontId="0" fillId="0" borderId="1" xfId="0" applyNumberFormat="1" applyFill="1" applyBorder="1" applyAlignment="1">
      <alignment vertical="top"/>
    </xf>
    <xf numFmtId="0" fontId="0" fillId="0" borderId="1" xfId="0" applyFill="1" applyBorder="1" applyAlignment="1">
      <alignment horizontal="center" vertical="top"/>
    </xf>
    <xf numFmtId="0" fontId="0" fillId="0" borderId="2" xfId="0" applyFill="1" applyBorder="1" applyAlignment="1">
      <alignment vertical="top"/>
    </xf>
    <xf numFmtId="0" fontId="0" fillId="0" borderId="2" xfId="0" applyFill="1" applyBorder="1" applyAlignment="1">
      <alignment horizontal="left" vertical="top"/>
    </xf>
    <xf numFmtId="0" fontId="1" fillId="0" borderId="0" xfId="1" applyFill="1" applyAlignment="1">
      <alignment vertical="top" wrapText="1"/>
    </xf>
    <xf numFmtId="0" fontId="2" fillId="0" borderId="2" xfId="1" applyFont="1" applyFill="1" applyBorder="1" applyAlignment="1">
      <alignment vertical="top" wrapText="1" readingOrder="1"/>
    </xf>
    <xf numFmtId="0" fontId="0" fillId="0" borderId="7" xfId="0" applyFill="1" applyBorder="1" applyAlignment="1">
      <alignment vertical="top"/>
    </xf>
    <xf numFmtId="14" fontId="0" fillId="0" borderId="8" xfId="0" applyNumberFormat="1" applyFill="1" applyBorder="1" applyAlignment="1">
      <alignment vertical="top"/>
    </xf>
    <xf numFmtId="0" fontId="0" fillId="0" borderId="8" xfId="0" applyFill="1" applyBorder="1" applyAlignment="1">
      <alignment horizontal="center" vertical="top"/>
    </xf>
    <xf numFmtId="0" fontId="0" fillId="0" borderId="9" xfId="0" applyFill="1" applyBorder="1" applyAlignment="1">
      <alignment vertical="top"/>
    </xf>
    <xf numFmtId="0" fontId="0" fillId="0" borderId="9" xfId="0" applyFill="1" applyBorder="1" applyAlignment="1">
      <alignment horizontal="left" vertical="top"/>
    </xf>
    <xf numFmtId="0" fontId="2" fillId="0" borderId="9" xfId="1" applyFont="1" applyFill="1" applyBorder="1" applyAlignment="1">
      <alignment vertical="top" wrapText="1" readingOrder="1"/>
    </xf>
    <xf numFmtId="0" fontId="0" fillId="4" borderId="0" xfId="0" applyFill="1" applyBorder="1" applyAlignment="1">
      <alignment vertical="top"/>
    </xf>
    <xf numFmtId="14" fontId="0" fillId="4" borderId="1" xfId="0" applyNumberFormat="1" applyFill="1" applyBorder="1" applyAlignment="1">
      <alignment vertical="top"/>
    </xf>
    <xf numFmtId="0" fontId="0" fillId="4" borderId="1" xfId="0" applyFill="1" applyBorder="1" applyAlignment="1">
      <alignment horizontal="center" vertical="top"/>
    </xf>
    <xf numFmtId="0" fontId="0" fillId="4" borderId="2" xfId="0" applyFill="1" applyBorder="1" applyAlignment="1">
      <alignment vertical="top"/>
    </xf>
    <xf numFmtId="0" fontId="0" fillId="4" borderId="2" xfId="0" applyFill="1" applyBorder="1" applyAlignment="1">
      <alignment horizontal="left" vertical="top"/>
    </xf>
    <xf numFmtId="0" fontId="0" fillId="4" borderId="0" xfId="0" applyFill="1" applyBorder="1" applyAlignment="1">
      <alignment horizontal="center" vertical="top"/>
    </xf>
    <xf numFmtId="0" fontId="1" fillId="4" borderId="0" xfId="1" applyFill="1" applyAlignment="1">
      <alignment wrapText="1"/>
    </xf>
    <xf numFmtId="0" fontId="2" fillId="4" borderId="2" xfId="1" applyFont="1" applyFill="1" applyBorder="1" applyAlignment="1">
      <alignment vertical="top" wrapText="1" readingOrder="1"/>
    </xf>
    <xf numFmtId="0" fontId="0" fillId="4" borderId="0" xfId="0" applyFill="1" applyBorder="1" applyAlignment="1">
      <alignment horizontal="left" vertical="top" wrapText="1"/>
    </xf>
    <xf numFmtId="0" fontId="1" fillId="0" borderId="0" xfId="1" applyFill="1" applyAlignment="1">
      <alignment wrapText="1"/>
    </xf>
    <xf numFmtId="0" fontId="1" fillId="0" borderId="0" xfId="1" applyFill="1" applyAlignment="1"/>
    <xf numFmtId="0" fontId="2" fillId="0" borderId="9" xfId="1" applyFont="1" applyBorder="1" applyAlignment="1">
      <alignment vertical="top" wrapText="1" readingOrder="1"/>
    </xf>
    <xf numFmtId="0" fontId="1" fillId="0" borderId="7" xfId="1" applyFill="1" applyBorder="1" applyAlignment="1">
      <alignment wrapText="1"/>
    </xf>
    <xf numFmtId="0" fontId="4" fillId="0" borderId="0" xfId="0" applyFont="1" applyFill="1"/>
    <xf numFmtId="0" fontId="0" fillId="3" borderId="3" xfId="0" applyFill="1" applyBorder="1" applyAlignment="1">
      <alignment horizontal="center" vertical="top"/>
    </xf>
    <xf numFmtId="0" fontId="1" fillId="0" borderId="9" xfId="1" applyBorder="1" applyAlignment="1">
      <alignment vertical="top" wrapText="1"/>
    </xf>
    <xf numFmtId="0" fontId="1" fillId="0" borderId="0" xfId="1" applyAlignment="1">
      <alignment horizontal="left" vertical="top"/>
    </xf>
    <xf numFmtId="0" fontId="1" fillId="0" borderId="0" xfId="1" applyFill="1" applyAlignment="1">
      <alignment horizontal="left" vertical="top" wrapText="1"/>
    </xf>
    <xf numFmtId="0" fontId="0" fillId="0" borderId="11" xfId="0" applyFill="1" applyBorder="1" applyAlignment="1">
      <alignment horizontal="left" vertical="top" wrapText="1"/>
    </xf>
    <xf numFmtId="0" fontId="4" fillId="0" borderId="10" xfId="0" applyFont="1" applyBorder="1" applyAlignment="1">
      <alignment wrapText="1"/>
    </xf>
    <xf numFmtId="0" fontId="4" fillId="0" borderId="0" xfId="0" applyFont="1" applyAlignment="1">
      <alignment wrapText="1"/>
    </xf>
    <xf numFmtId="0" fontId="0" fillId="5" borderId="3" xfId="0" applyFill="1" applyBorder="1" applyAlignment="1">
      <alignment vertical="top"/>
    </xf>
    <xf numFmtId="14" fontId="0" fillId="5" borderId="4" xfId="0" applyNumberFormat="1" applyFill="1" applyBorder="1" applyAlignment="1">
      <alignment vertical="top"/>
    </xf>
    <xf numFmtId="0" fontId="0" fillId="5" borderId="4" xfId="0" applyFill="1" applyBorder="1" applyAlignment="1">
      <alignment horizontal="center" vertical="top"/>
    </xf>
    <xf numFmtId="0" fontId="0" fillId="5" borderId="6" xfId="0" applyFill="1" applyBorder="1" applyAlignment="1">
      <alignment vertical="top"/>
    </xf>
    <xf numFmtId="0" fontId="0" fillId="5" borderId="6" xfId="0" applyFill="1" applyBorder="1" applyAlignment="1">
      <alignment horizontal="left" vertical="top"/>
    </xf>
    <xf numFmtId="0" fontId="0" fillId="5" borderId="3" xfId="0" applyFill="1" applyBorder="1" applyAlignment="1">
      <alignment horizontal="center" vertical="top"/>
    </xf>
    <xf numFmtId="0" fontId="1" fillId="5" borderId="6" xfId="1" applyFill="1" applyBorder="1" applyAlignment="1">
      <alignment vertical="top" wrapText="1"/>
    </xf>
    <xf numFmtId="0" fontId="0" fillId="5" borderId="4" xfId="0" applyFill="1" applyBorder="1" applyAlignment="1">
      <alignment vertical="top"/>
    </xf>
    <xf numFmtId="0" fontId="0" fillId="5" borderId="3" xfId="0" applyFill="1" applyBorder="1" applyAlignment="1">
      <alignment horizontal="left" vertical="top" wrapText="1"/>
    </xf>
    <xf numFmtId="14" fontId="0" fillId="0" borderId="4" xfId="0" applyNumberFormat="1" applyFill="1" applyBorder="1" applyAlignment="1">
      <alignment vertical="top"/>
    </xf>
    <xf numFmtId="0" fontId="0" fillId="0" borderId="4" xfId="0" applyFill="1" applyBorder="1" applyAlignment="1">
      <alignment horizontal="center" vertical="top"/>
    </xf>
    <xf numFmtId="0" fontId="0" fillId="0" borderId="6" xfId="0" applyFill="1" applyBorder="1" applyAlignment="1">
      <alignment vertical="top"/>
    </xf>
    <xf numFmtId="0" fontId="0" fillId="0" borderId="6" xfId="0" applyFill="1" applyBorder="1" applyAlignment="1">
      <alignment horizontal="left" vertical="top"/>
    </xf>
    <xf numFmtId="0" fontId="2" fillId="0" borderId="6" xfId="1" applyFont="1" applyFill="1" applyBorder="1" applyAlignment="1">
      <alignment vertical="top" wrapText="1" readingOrder="1"/>
    </xf>
    <xf numFmtId="0" fontId="4" fillId="0" borderId="3" xfId="0" applyFont="1" applyBorder="1" applyAlignment="1">
      <alignment wrapText="1"/>
    </xf>
    <xf numFmtId="0" fontId="1" fillId="0" borderId="3" xfId="1" applyBorder="1" applyAlignment="1">
      <alignment wrapText="1"/>
    </xf>
    <xf numFmtId="0" fontId="0" fillId="0" borderId="0" xfId="0" applyFill="1" applyBorder="1" applyAlignment="1">
      <alignment horizontal="center" vertical="top" wrapText="1"/>
    </xf>
    <xf numFmtId="0" fontId="0" fillId="0" borderId="10" xfId="0" applyFill="1" applyBorder="1" applyAlignment="1">
      <alignment horizontal="center" vertical="top" wrapText="1"/>
    </xf>
    <xf numFmtId="0" fontId="1" fillId="0" borderId="9" xfId="1" applyBorder="1" applyAlignment="1">
      <alignment horizontal="left" vertical="top" wrapText="1"/>
    </xf>
    <xf numFmtId="0" fontId="0" fillId="0" borderId="10" xfId="0" applyBorder="1" applyAlignment="1">
      <alignment vertical="top"/>
    </xf>
    <xf numFmtId="0" fontId="0" fillId="0" borderId="7" xfId="0" applyFill="1" applyBorder="1" applyAlignment="1">
      <alignment horizontal="center" vertical="top" wrapText="1"/>
    </xf>
    <xf numFmtId="0" fontId="1" fillId="0" borderId="7" xfId="1" applyBorder="1"/>
    <xf numFmtId="0" fontId="4" fillId="0" borderId="1" xfId="0" applyFont="1" applyBorder="1"/>
    <xf numFmtId="0" fontId="4" fillId="0" borderId="2" xfId="0" applyFont="1" applyBorder="1"/>
    <xf numFmtId="0" fontId="0" fillId="6" borderId="0" xfId="0" applyFill="1" applyBorder="1" applyAlignment="1">
      <alignment horizontal="left" vertical="top" wrapText="1"/>
    </xf>
    <xf numFmtId="0" fontId="1" fillId="4" borderId="0" xfId="1" applyFill="1" applyAlignment="1">
      <alignment vertical="top" wrapText="1"/>
    </xf>
    <xf numFmtId="0" fontId="0" fillId="4" borderId="2" xfId="0" applyFill="1" applyBorder="1" applyAlignment="1">
      <alignment vertical="top" wrapText="1"/>
    </xf>
    <xf numFmtId="0" fontId="4" fillId="4" borderId="11" xfId="0" applyFont="1" applyFill="1" applyBorder="1" applyAlignment="1">
      <alignment vertical="top" wrapText="1"/>
    </xf>
    <xf numFmtId="0" fontId="0" fillId="0" borderId="2" xfId="0" applyFill="1" applyBorder="1" applyAlignment="1">
      <alignment horizontal="center" vertical="top"/>
    </xf>
    <xf numFmtId="0" fontId="0" fillId="0" borderId="1" xfId="0" applyFill="1" applyBorder="1" applyAlignment="1">
      <alignment horizontal="left" vertical="top"/>
    </xf>
    <xf numFmtId="0" fontId="4" fillId="0" borderId="9" xfId="0" applyFont="1" applyBorder="1"/>
    <xf numFmtId="0" fontId="4" fillId="0" borderId="7" xfId="0" applyFont="1" applyBorder="1" applyAlignment="1">
      <alignment wrapText="1"/>
    </xf>
    <xf numFmtId="0" fontId="4" fillId="0" borderId="8" xfId="0" applyFont="1" applyBorder="1" applyAlignment="1">
      <alignment vertical="top"/>
    </xf>
    <xf numFmtId="0" fontId="0" fillId="0" borderId="10" xfId="0" applyFill="1" applyBorder="1" applyAlignment="1">
      <alignment horizontal="center" vertical="top"/>
    </xf>
    <xf numFmtId="0" fontId="0" fillId="0" borderId="9" xfId="0" applyFill="1" applyBorder="1" applyAlignment="1">
      <alignment horizontal="center" vertical="top"/>
    </xf>
    <xf numFmtId="0" fontId="4" fillId="0" borderId="9" xfId="0" applyFont="1" applyBorder="1" applyAlignment="1">
      <alignment vertical="top"/>
    </xf>
    <xf numFmtId="0" fontId="0" fillId="0" borderId="1" xfId="0" applyFill="1" applyBorder="1" applyAlignment="1">
      <alignment vertical="top"/>
    </xf>
    <xf numFmtId="0" fontId="4" fillId="0" borderId="1" xfId="0" applyFont="1" applyBorder="1" applyAlignment="1">
      <alignment vertical="top"/>
    </xf>
    <xf numFmtId="0" fontId="1" fillId="0" borderId="2" xfId="1" applyBorder="1" applyAlignment="1">
      <alignment wrapText="1"/>
    </xf>
    <xf numFmtId="0" fontId="4" fillId="0" borderId="2" xfId="0" applyFont="1" applyBorder="1" applyAlignment="1">
      <alignment horizontal="center" vertical="top"/>
    </xf>
    <xf numFmtId="164" fontId="4" fillId="0" borderId="1" xfId="0" applyNumberFormat="1" applyFont="1" applyBorder="1" applyAlignment="1">
      <alignment horizontal="center" vertical="top"/>
    </xf>
    <xf numFmtId="0" fontId="0" fillId="0" borderId="2" xfId="0" applyBorder="1" applyAlignment="1">
      <alignment wrapText="1"/>
    </xf>
    <xf numFmtId="0" fontId="4" fillId="0" borderId="2" xfId="0" applyFont="1" applyBorder="1" applyAlignment="1">
      <alignment vertical="top"/>
    </xf>
    <xf numFmtId="0" fontId="4" fillId="0" borderId="0" xfId="0" applyFont="1" applyAlignment="1">
      <alignment horizontal="center" vertical="top"/>
    </xf>
    <xf numFmtId="0" fontId="4" fillId="0" borderId="7" xfId="0" applyFont="1" applyBorder="1" applyAlignment="1">
      <alignment vertical="top"/>
    </xf>
    <xf numFmtId="0" fontId="4" fillId="0" borderId="2" xfId="0" applyFont="1" applyBorder="1" applyAlignment="1">
      <alignment wrapText="1"/>
    </xf>
    <xf numFmtId="0" fontId="0" fillId="0" borderId="8" xfId="0" applyFill="1" applyBorder="1" applyAlignment="1">
      <alignment vertical="top"/>
    </xf>
    <xf numFmtId="164" fontId="4" fillId="0" borderId="8" xfId="0" applyNumberFormat="1" applyFont="1" applyBorder="1" applyAlignment="1">
      <alignment horizontal="center" vertical="top"/>
    </xf>
    <xf numFmtId="0" fontId="4" fillId="0" borderId="9" xfId="0" applyFont="1" applyBorder="1" applyAlignment="1">
      <alignment wrapText="1"/>
    </xf>
    <xf numFmtId="0" fontId="0" fillId="0" borderId="9" xfId="0" applyBorder="1" applyAlignment="1">
      <alignment wrapText="1"/>
    </xf>
    <xf numFmtId="0" fontId="4" fillId="0" borderId="9" xfId="0" applyFont="1" applyBorder="1" applyAlignment="1">
      <alignment horizontal="center" vertical="top"/>
    </xf>
    <xf numFmtId="0" fontId="0" fillId="0" borderId="2" xfId="0" applyBorder="1" applyAlignment="1">
      <alignment vertical="top" wrapText="1"/>
    </xf>
    <xf numFmtId="0" fontId="4" fillId="0" borderId="0" xfId="0" applyFont="1" applyAlignment="1">
      <alignment vertical="top" wrapText="1"/>
    </xf>
    <xf numFmtId="0" fontId="1" fillId="0" borderId="2" xfId="1" applyBorder="1"/>
    <xf numFmtId="0" fontId="4" fillId="0" borderId="0" xfId="0" quotePrefix="1" applyFont="1"/>
    <xf numFmtId="0" fontId="3" fillId="2" borderId="0" xfId="0" applyFont="1" applyFill="1" applyBorder="1" applyAlignment="1">
      <alignment horizontal="center" vertical="top"/>
    </xf>
    <xf numFmtId="0" fontId="3" fillId="2" borderId="1"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22</xdr:col>
      <xdr:colOff>307520</xdr:colOff>
      <xdr:row>6</xdr:row>
      <xdr:rowOff>121103</xdr:rowOff>
    </xdr:from>
    <xdr:ext cx="5210176" cy="6120265"/>
    <xdr:sp macro="" textlink="">
      <xdr:nvSpPr>
        <xdr:cNvPr id="2" name="TextBox 1">
          <a:extLst>
            <a:ext uri="{FF2B5EF4-FFF2-40B4-BE49-F238E27FC236}">
              <a16:creationId xmlns:a16="http://schemas.microsoft.com/office/drawing/2014/main" id="{1B8A6AC2-8192-45FF-BF46-3FB2B70097B3}"/>
            </a:ext>
          </a:extLst>
        </xdr:cNvPr>
        <xdr:cNvSpPr txBox="1"/>
      </xdr:nvSpPr>
      <xdr:spPr>
        <a:xfrm>
          <a:off x="24487413" y="2271032"/>
          <a:ext cx="5210176" cy="6120265"/>
        </a:xfrm>
        <a:prstGeom prst="rect">
          <a:avLst/>
        </a:prstGeom>
        <a:solidFill>
          <a:schemeClr val="bg1"/>
        </a:solidFill>
        <a:ln w="28575">
          <a:solidFill>
            <a:schemeClr val="accent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CH" sz="1100" b="1"/>
            <a:t>Notes Vera:</a:t>
          </a:r>
          <a:r>
            <a:rPr lang="de-CH" sz="1100" b="1" baseline="0"/>
            <a:t> </a:t>
          </a:r>
        </a:p>
        <a:p>
          <a:r>
            <a:rPr lang="de-CH" sz="1100" b="0" baseline="0"/>
            <a:t>- the dataset data_20240823_1752_case4 is the one without cutoff in preprocessing</a:t>
          </a:r>
        </a:p>
        <a:p>
          <a:pPr marL="0" marR="0" lvl="0" indent="0" defTabSz="914400" rtl="0" eaLnBrk="1" fontAlgn="auto" latinLnBrk="0" hangingPunct="1">
            <a:lnSpc>
              <a:spcPct val="100000"/>
            </a:lnSpc>
            <a:spcBef>
              <a:spcPts val="0"/>
            </a:spcBef>
            <a:spcAft>
              <a:spcPts val="0"/>
            </a:spcAft>
            <a:buClrTx/>
            <a:buSzTx/>
            <a:buFontTx/>
            <a:buNone/>
            <a:tabLst/>
            <a:defRPr/>
          </a:pPr>
          <a:r>
            <a:rPr lang="de-CH" sz="1100" b="0" baseline="0"/>
            <a:t>- the dataset </a:t>
          </a:r>
          <a:r>
            <a:rPr lang="de-CH" sz="1100" b="0">
              <a:solidFill>
                <a:schemeClr val="tx1"/>
              </a:solidFill>
              <a:effectLst/>
              <a:latin typeface="+mn-lt"/>
              <a:ea typeface="+mn-ea"/>
              <a:cs typeface="+mn-cs"/>
            </a:rPr>
            <a:t>data_240725_1628_case4_add would be the one with cutoff (and</a:t>
          </a:r>
          <a:r>
            <a:rPr lang="de-CH" sz="1100" b="0" baseline="0">
              <a:solidFill>
                <a:schemeClr val="tx1"/>
              </a:solidFill>
              <a:effectLst/>
              <a:latin typeface="+mn-lt"/>
              <a:ea typeface="+mn-ea"/>
              <a:cs typeface="+mn-cs"/>
            </a:rPr>
            <a:t> synthetically added data)</a:t>
          </a:r>
          <a:endParaRPr lang="de-CH" sz="1100" b="0"/>
        </a:p>
        <a:p>
          <a:endParaRPr lang="de-CH" sz="1100" b="1"/>
        </a:p>
        <a:p>
          <a:r>
            <a:rPr lang="de-CH" sz="1100" b="1"/>
            <a:t>Questions Vera:</a:t>
          </a:r>
        </a:p>
        <a:p>
          <a:r>
            <a:rPr lang="de-CH" sz="1100">
              <a:solidFill>
                <a:schemeClr val="accent1"/>
              </a:solidFill>
            </a:rPr>
            <a:t>- Why is</a:t>
          </a:r>
          <a:r>
            <a:rPr lang="de-CH" sz="1100" baseline="0">
              <a:solidFill>
                <a:schemeClr val="accent1"/>
              </a:solidFill>
            </a:rPr>
            <a:t> the loss negative? --&gt; was a tweedie loss...</a:t>
          </a:r>
        </a:p>
        <a:p>
          <a:r>
            <a:rPr lang="de-CH" sz="1100" baseline="0">
              <a:solidFill>
                <a:schemeClr val="accent1"/>
              </a:solidFill>
            </a:rPr>
            <a:t>- From the command line output it looks like its training twice. Why are there two logs? -&gt; validation epoch?</a:t>
          </a:r>
        </a:p>
        <a:p>
          <a:r>
            <a:rPr lang="de-CH" sz="1100" baseline="0">
              <a:solidFill>
                <a:schemeClr val="accent1"/>
              </a:solidFill>
            </a:rPr>
            <a:t>- What is v_num in the console output? --&gt; version number (for logs)</a:t>
          </a:r>
        </a:p>
        <a:p>
          <a:r>
            <a:rPr lang="de-CH" sz="1100" baseline="0">
              <a:solidFill>
                <a:schemeClr val="accent1"/>
              </a:solidFill>
            </a:rPr>
            <a:t>- Why can i not see the evolution of the losses but only the loss from the last epoch? --&gt; track with wandb</a:t>
          </a:r>
        </a:p>
        <a:p>
          <a:r>
            <a:rPr lang="de-CH" sz="1100" baseline="0">
              <a:solidFill>
                <a:schemeClr val="accent1"/>
              </a:solidFill>
            </a:rPr>
            <a:t>- Why do there seem to be 57 steps per epoch?</a:t>
          </a:r>
          <a:br>
            <a:rPr lang="de-CH" sz="1100" baseline="0">
              <a:solidFill>
                <a:schemeClr val="accent1"/>
              </a:solidFill>
            </a:rPr>
          </a:br>
          <a:r>
            <a:rPr lang="de-CH" sz="1100" baseline="0">
              <a:solidFill>
                <a:schemeClr val="accent1"/>
              </a:solidFill>
            </a:rPr>
            <a:t>  --&gt; because of chosen batch size = 64 (-&gt; get 57x64 rows in training set)</a:t>
          </a:r>
        </a:p>
        <a:p>
          <a:r>
            <a:rPr lang="de-CH" sz="1100" baseline="0">
              <a:solidFill>
                <a:schemeClr val="accent1"/>
              </a:solidFill>
            </a:rPr>
            <a:t>- Why is the ffnn always in train mode and not in eval mode? (in the command outputs that arrive during training) -- nothing to worry about</a:t>
          </a:r>
        </a:p>
        <a:p>
          <a:r>
            <a:rPr lang="de-CH" sz="1100" baseline="0">
              <a:solidFill>
                <a:schemeClr val="accent1"/>
              </a:solidFill>
              <a:effectLst/>
              <a:latin typeface="+mn-lt"/>
              <a:ea typeface="+mn-ea"/>
              <a:cs typeface="+mn-cs"/>
            </a:rPr>
            <a:t>- What really happens in the loss calculation? Does it take the correct values?</a:t>
          </a:r>
          <a:br>
            <a:rPr lang="de-CH" sz="1100" baseline="0">
              <a:solidFill>
                <a:schemeClr val="accent1"/>
              </a:solidFill>
              <a:effectLst/>
              <a:latin typeface="+mn-lt"/>
              <a:ea typeface="+mn-ea"/>
              <a:cs typeface="+mn-cs"/>
            </a:rPr>
          </a:br>
          <a:r>
            <a:rPr lang="de-CH" sz="1100" baseline="0">
              <a:solidFill>
                <a:schemeClr val="accent1"/>
              </a:solidFill>
              <a:effectLst/>
              <a:latin typeface="+mn-lt"/>
              <a:ea typeface="+mn-ea"/>
              <a:cs typeface="+mn-cs"/>
            </a:rPr>
            <a:t>--&gt; loss over all columns and all rows is taken at the same time. --&gt; would make sense to split for improved performance</a:t>
          </a:r>
          <a:endParaRPr lang="de-CH">
            <a:solidFill>
              <a:schemeClr val="accent1"/>
            </a:solidFill>
            <a:effectLst/>
          </a:endParaRPr>
        </a:p>
        <a:p>
          <a:r>
            <a:rPr lang="de-CH" sz="1100" baseline="0">
              <a:solidFill>
                <a:schemeClr val="accent1"/>
              </a:solidFill>
              <a:effectLst/>
              <a:latin typeface="+mn-lt"/>
              <a:ea typeface="+mn-ea"/>
              <a:cs typeface="+mn-cs"/>
            </a:rPr>
            <a:t>- Especially the test loss: Why is it just a single value? --&gt; loss over all rows and columns..</a:t>
          </a:r>
          <a:endParaRPr lang="de-CH">
            <a:solidFill>
              <a:schemeClr val="accent1"/>
            </a:solidFill>
            <a:effectLst/>
          </a:endParaRPr>
        </a:p>
        <a:p>
          <a:r>
            <a:rPr lang="de-CH" sz="1100" baseline="0"/>
            <a:t>- Does it make sense to define the custom Sobolev loss within the LitFFNN class or would it better be defined in the FFNN class or outside of any classes at all?</a:t>
          </a:r>
          <a:br>
            <a:rPr lang="de-CH" sz="1100" baseline="0"/>
          </a:br>
          <a:r>
            <a:rPr lang="de-CH" sz="1100" baseline="0"/>
            <a:t>-- could be a separate class, but is ok as is.</a:t>
          </a:r>
        </a:p>
        <a:p>
          <a:r>
            <a:rPr lang="de-CH" sz="1100" baseline="0">
              <a:solidFill>
                <a:schemeClr val="accent1"/>
              </a:solidFill>
            </a:rPr>
            <a:t>- After training, when calling checkpoint-saved model: why do i need to define forward call twice (in FFNN and in LitFFNN?)</a:t>
          </a:r>
          <a:br>
            <a:rPr lang="de-CH" sz="1100" baseline="0">
              <a:solidFill>
                <a:schemeClr val="accent1"/>
              </a:solidFill>
            </a:rPr>
          </a:br>
          <a:r>
            <a:rPr lang="de-CH" sz="1100" baseline="0">
              <a:solidFill>
                <a:schemeClr val="accent1"/>
              </a:solidFill>
            </a:rPr>
            <a:t>--&gt;(https://lightning.ai/docs/pytorch/2.4.0/common/lightning_module.html#prediction-loop) "child modules" --&gt; this is normal</a:t>
          </a:r>
        </a:p>
        <a:p>
          <a:endParaRPr lang="de-CH" sz="1100" baseline="0"/>
        </a:p>
        <a:p>
          <a:endParaRPr lang="de-CH" sz="1100" baseline="0"/>
        </a:p>
        <a:p>
          <a:r>
            <a:rPr lang="de-CH" sz="1100" b="1" baseline="0"/>
            <a:t>Next steps: </a:t>
          </a:r>
        </a:p>
        <a:p>
          <a:r>
            <a:rPr lang="de-CH" sz="1100" baseline="0"/>
            <a:t>- Würde es sinn machen die 8 verschieden inputs separat zu den Outputs zu mappen? oder zumindest separate losses zu haben?</a:t>
          </a:r>
          <a:br>
            <a:rPr lang="de-CH" sz="1100" baseline="0"/>
          </a:br>
          <a:r>
            <a:rPr lang="de-CH" sz="1100" baseline="0"/>
            <a:t>--&gt; im beispiel das ich gerade als Datensatz verwende hat z.B. der Loss bei n und v gut gearbeitet aber bei m probleme --&gt; da müsste der loss "stringenter" sein.</a:t>
          </a:r>
        </a:p>
        <a:p>
          <a:r>
            <a:rPr lang="de-CH" sz="1100" baseline="0"/>
            <a:t>- Increase num_workers (as suggested by output in training)</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andb.ai/v-balmer/ShellSim_FFNN_v1_onlyTest/runs/29gtwcpv" TargetMode="External"/><Relationship Id="rId18" Type="http://schemas.openxmlformats.org/officeDocument/2006/relationships/hyperlink" Target="https://wandb.ai/v-balmer/ShellSim_FFNN_v1/runs/c2d450jv" TargetMode="External"/><Relationship Id="rId26" Type="http://schemas.openxmlformats.org/officeDocument/2006/relationships/hyperlink" Target="https://wandb.ai/v-balmer/ShellSim_FFNN_v1_onlyTest/runs/a5xruwf3" TargetMode="External"/><Relationship Id="rId39" Type="http://schemas.openxmlformats.org/officeDocument/2006/relationships/hyperlink" Target="https://wandb.ai/v-balmer/ShellSim_FFNN_v1/runs/3zspkb3j" TargetMode="External"/><Relationship Id="rId21" Type="http://schemas.openxmlformats.org/officeDocument/2006/relationships/hyperlink" Target="https://wandb.ai/v-balmer/ShellSim_FFNN_v1_onlyTest/runs/kjq6ntgx" TargetMode="External"/><Relationship Id="rId34" Type="http://schemas.openxmlformats.org/officeDocument/2006/relationships/hyperlink" Target="https://wandb.ai/v-balmer/ShellSim_FFNN_v1/runs/peqoep5e" TargetMode="External"/><Relationship Id="rId42" Type="http://schemas.openxmlformats.org/officeDocument/2006/relationships/hyperlink" Target="https://wandb.ai/v-balmer/ShellSim_FFNN_v1/runs/jgqwi03u" TargetMode="External"/><Relationship Id="rId47" Type="http://schemas.openxmlformats.org/officeDocument/2006/relationships/hyperlink" Target="https://wandb.ai/v-balmer/ShellSim_FFNN_v1/runs/h0ngdg39" TargetMode="External"/><Relationship Id="rId50" Type="http://schemas.openxmlformats.org/officeDocument/2006/relationships/hyperlink" Target="https://wandb.ai/v-balmer/ShellSim_FFNN_v1/runs/jhpgel3v" TargetMode="External"/><Relationship Id="rId55" Type="http://schemas.openxmlformats.org/officeDocument/2006/relationships/hyperlink" Target="https://wandb.ai/v-balmer/ShellSim_FFNN_v1/runs/9o3huxmx" TargetMode="External"/><Relationship Id="rId63" Type="http://schemas.openxmlformats.org/officeDocument/2006/relationships/hyperlink" Target="https://wandb.ai/v-balmer/ShellSim_FFNN_v1/runs/m3lod707" TargetMode="External"/><Relationship Id="rId68" Type="http://schemas.openxmlformats.org/officeDocument/2006/relationships/hyperlink" Target="https://wandb.ai/v-balmer/ShellSim_FFNN_v1/runs/5p49p1j7/logs" TargetMode="External"/><Relationship Id="rId7" Type="http://schemas.openxmlformats.org/officeDocument/2006/relationships/hyperlink" Target="https://wandb.ai/v-balmer/ShellSim_FFNN_v0/runs/4lsw3l1s" TargetMode="External"/><Relationship Id="rId71" Type="http://schemas.openxmlformats.org/officeDocument/2006/relationships/hyperlink" Target="https://wandb.ai/v-balmer/ShellSim_FFNN_v1/runs/wmzvh4cm" TargetMode="External"/><Relationship Id="rId2" Type="http://schemas.openxmlformats.org/officeDocument/2006/relationships/hyperlink" Target="https://wandb.ai/v-balmer/ShellSim_FFNN_v0/runs/jnro3wvd" TargetMode="External"/><Relationship Id="rId16" Type="http://schemas.openxmlformats.org/officeDocument/2006/relationships/hyperlink" Target="https://wandb.ai/v-balmer/ShellSim_FFNN_v1/runs/zk6gpzk5" TargetMode="External"/><Relationship Id="rId29" Type="http://schemas.openxmlformats.org/officeDocument/2006/relationships/hyperlink" Target="https://wandb.ai/v-balmer/ShellSim_FFNN_v1/runs/k9qmlykq" TargetMode="External"/><Relationship Id="rId11" Type="http://schemas.openxmlformats.org/officeDocument/2006/relationships/hyperlink" Target="https://wandb.ai/v-balmer/ShellSim_FFNN_v0_onlyTest/runs/8b0antrn" TargetMode="External"/><Relationship Id="rId24" Type="http://schemas.openxmlformats.org/officeDocument/2006/relationships/hyperlink" Target="https://wandb.ai/v-balmer/ShellSim_FFNN_v1_onlyTest/runs/iuvxry3d" TargetMode="External"/><Relationship Id="rId32" Type="http://schemas.openxmlformats.org/officeDocument/2006/relationships/hyperlink" Target="https://wandb.ai/v-balmer/ShellSim_FFNN_v1/runs/4gphe8um" TargetMode="External"/><Relationship Id="rId37" Type="http://schemas.openxmlformats.org/officeDocument/2006/relationships/hyperlink" Target="https://wandb.ai/v-balmer/ShellSim_FFNN_v1/runs/d48wntue" TargetMode="External"/><Relationship Id="rId40" Type="http://schemas.openxmlformats.org/officeDocument/2006/relationships/hyperlink" Target="https://wandb.ai/v-balmer/ShellSim_FFNN_v1/runs/5wtj4idq" TargetMode="External"/><Relationship Id="rId45" Type="http://schemas.openxmlformats.org/officeDocument/2006/relationships/hyperlink" Target="https://wandb.ai/v-balmer/ShellSim_FFNN_v1/runs/ost6ma9h" TargetMode="External"/><Relationship Id="rId53" Type="http://schemas.openxmlformats.org/officeDocument/2006/relationships/hyperlink" Target="https://wandb.ai/v-balmer/ShellSim_FFNN_v1/runs/2hrsaiee" TargetMode="External"/><Relationship Id="rId58" Type="http://schemas.openxmlformats.org/officeDocument/2006/relationships/hyperlink" Target="https://wandb.ai/v-balmer/ShellSim_FFNN_v1/runs/4xeuh0a6" TargetMode="External"/><Relationship Id="rId66" Type="http://schemas.openxmlformats.org/officeDocument/2006/relationships/hyperlink" Target="https://wandb.ai/v-balmer/ShellSim_FFNN_v1/runs/xk7h2jza?nw=nwuservbalmer" TargetMode="External"/><Relationship Id="rId5" Type="http://schemas.openxmlformats.org/officeDocument/2006/relationships/hyperlink" Target="https://wandb.ai/v-balmer/ShellSim_FFNN_v0_onlyTest/runs/l5bo4oo8" TargetMode="External"/><Relationship Id="rId15" Type="http://schemas.openxmlformats.org/officeDocument/2006/relationships/hyperlink" Target="https://wandb.ai/v-balmer/ShellSim_FFNN_v1/runs/uuz5hazi" TargetMode="External"/><Relationship Id="rId23" Type="http://schemas.openxmlformats.org/officeDocument/2006/relationships/hyperlink" Target="https://wandb.ai/v-balmer/ShellSim_FFNN_v1/runs/ujdgwe6n" TargetMode="External"/><Relationship Id="rId28" Type="http://schemas.openxmlformats.org/officeDocument/2006/relationships/hyperlink" Target="https://wandb.ai/v-balmer/ShellSim_FFNN_v1/runs/t6uajgki" TargetMode="External"/><Relationship Id="rId36" Type="http://schemas.openxmlformats.org/officeDocument/2006/relationships/hyperlink" Target="https://wandb.ai/v-balmer/ShellSim_FFNN_v1/runs/db4rr1z1" TargetMode="External"/><Relationship Id="rId49" Type="http://schemas.openxmlformats.org/officeDocument/2006/relationships/hyperlink" Target="https://wandb.ai/v-balmer/ShellSim_FFNN_v1/runs/r9gmzow4" TargetMode="External"/><Relationship Id="rId57" Type="http://schemas.openxmlformats.org/officeDocument/2006/relationships/hyperlink" Target="https://wandb.ai/v-balmer/ShellSim_FFNN_v1/runs/pis7pg7t" TargetMode="External"/><Relationship Id="rId61" Type="http://schemas.openxmlformats.org/officeDocument/2006/relationships/hyperlink" Target="https://wandb.ai/v-balmer/ShellSim_FFNN_v1/runs/kjfd3d2e" TargetMode="External"/><Relationship Id="rId10" Type="http://schemas.openxmlformats.org/officeDocument/2006/relationships/hyperlink" Target="https://wandb.ai/v-balmer/ShellSim_FFNN_v0/runs/lebj4nry" TargetMode="External"/><Relationship Id="rId19" Type="http://schemas.openxmlformats.org/officeDocument/2006/relationships/hyperlink" Target="https://wandb.ai/v-balmer/ShellSim_FFNN_v1/runs/0dv50ym5" TargetMode="External"/><Relationship Id="rId31" Type="http://schemas.openxmlformats.org/officeDocument/2006/relationships/hyperlink" Target="https://wandb.ai/v-balmer/ShellSim_FFNN_v1/runs/corqekl2" TargetMode="External"/><Relationship Id="rId44" Type="http://schemas.openxmlformats.org/officeDocument/2006/relationships/hyperlink" Target="https://wandb.ai/v-balmer/ShellSim_FFNN_v1/runs/aql83ctj" TargetMode="External"/><Relationship Id="rId52" Type="http://schemas.openxmlformats.org/officeDocument/2006/relationships/hyperlink" Target="https://wandb.ai/v-balmer/ShellSim_FFNN_v1/runs/36tika5w" TargetMode="External"/><Relationship Id="rId60" Type="http://schemas.openxmlformats.org/officeDocument/2006/relationships/hyperlink" Target="https://wandb.ai/v-balmer/ShellSim_FFNN_v1/runs/640owuhf" TargetMode="External"/><Relationship Id="rId65" Type="http://schemas.openxmlformats.org/officeDocument/2006/relationships/hyperlink" Target="https://wandb.ai/v-balmer/ShellSim_FFNN_v1/runs/0854edyl" TargetMode="External"/><Relationship Id="rId73" Type="http://schemas.openxmlformats.org/officeDocument/2006/relationships/drawing" Target="../drawings/drawing1.xml"/><Relationship Id="rId4" Type="http://schemas.openxmlformats.org/officeDocument/2006/relationships/hyperlink" Target="https://wandb.ai/v-balmer/ShellSim_FFNN_v0_onlyTest" TargetMode="External"/><Relationship Id="rId9" Type="http://schemas.openxmlformats.org/officeDocument/2006/relationships/hyperlink" Target="https://wandb.ai/v-balmer/ShellSim_FFNN_v0/runs/onnbvolk" TargetMode="External"/><Relationship Id="rId14" Type="http://schemas.openxmlformats.org/officeDocument/2006/relationships/hyperlink" Target="https://wandb.ai/v-balmer/ShellSim_FFNN_v1_onlyTest/runs/29gtwcpv" TargetMode="External"/><Relationship Id="rId22" Type="http://schemas.openxmlformats.org/officeDocument/2006/relationships/hyperlink" Target="https://wandb.ai/v-balmer/ShellSim_FFNN_v1_onlyTest/runs/0sjni3j7" TargetMode="External"/><Relationship Id="rId27" Type="http://schemas.openxmlformats.org/officeDocument/2006/relationships/hyperlink" Target="https://wandb.ai/v-balmer/ShellSim_FFNN_v1/runs/lx8kaom2" TargetMode="External"/><Relationship Id="rId30" Type="http://schemas.openxmlformats.org/officeDocument/2006/relationships/hyperlink" Target="https://wandb.ai/v-balmer/ShellSim_FFNN_v1/runs/q38teqph" TargetMode="External"/><Relationship Id="rId35" Type="http://schemas.openxmlformats.org/officeDocument/2006/relationships/hyperlink" Target="https://wandb.ai/v-balmer/ShellSim_FFNN_v1/runs/omgw4qci" TargetMode="External"/><Relationship Id="rId43" Type="http://schemas.openxmlformats.org/officeDocument/2006/relationships/hyperlink" Target="https://wandb.ai/v-balmer/ShellSim_FFNN_v1/runs/mj8xakyj" TargetMode="External"/><Relationship Id="rId48" Type="http://schemas.openxmlformats.org/officeDocument/2006/relationships/hyperlink" Target="https://wandb.ai/v-balmer/ShellSim_FFNN_v1/runs/f4r8f9ne" TargetMode="External"/><Relationship Id="rId56" Type="http://schemas.openxmlformats.org/officeDocument/2006/relationships/hyperlink" Target="https://wandb.ai/v-balmer/ShellSim_FFNN_v1/runs/zvq5p25w" TargetMode="External"/><Relationship Id="rId64" Type="http://schemas.openxmlformats.org/officeDocument/2006/relationships/hyperlink" Target="https://wandb.ai/v-balmer/ShellSim_FFNN_v1/runs/42dr4xe2" TargetMode="External"/><Relationship Id="rId69" Type="http://schemas.openxmlformats.org/officeDocument/2006/relationships/hyperlink" Target="https://wandb.ai/v-balmer/ShellSim_FFNN_v1/runs/789h108p" TargetMode="External"/><Relationship Id="rId8" Type="http://schemas.openxmlformats.org/officeDocument/2006/relationships/hyperlink" Target="https://wandb.ai/v-balmer/ShellSim_FFNN_v0/runs/e95dfpts" TargetMode="External"/><Relationship Id="rId51" Type="http://schemas.openxmlformats.org/officeDocument/2006/relationships/hyperlink" Target="https://wandb.ai/v-balmer/ShellSim_FFNN_v1/runs/hhbggbdu" TargetMode="External"/><Relationship Id="rId72" Type="http://schemas.openxmlformats.org/officeDocument/2006/relationships/printerSettings" Target="../printerSettings/printerSettings1.bin"/><Relationship Id="rId3" Type="http://schemas.openxmlformats.org/officeDocument/2006/relationships/hyperlink" Target="https://wandb.ai/v-balmer/ShellSim_FFNN_v0/runs/dbybu7up" TargetMode="External"/><Relationship Id="rId12" Type="http://schemas.openxmlformats.org/officeDocument/2006/relationships/hyperlink" Target="https://wandb.ai/v-balmer/ShellSim_FFNN_v1_onlyTest/runs/rsn1uai1" TargetMode="External"/><Relationship Id="rId17" Type="http://schemas.openxmlformats.org/officeDocument/2006/relationships/hyperlink" Target="https://wandb.ai/v-balmer/ShellSim_FFNN_v1/runs/svbryhr6" TargetMode="External"/><Relationship Id="rId25" Type="http://schemas.openxmlformats.org/officeDocument/2006/relationships/hyperlink" Target="https://wandb.ai/v-balmer/ShellSim_FFNN_v1_onlyTest/runs/psk6qg4d" TargetMode="External"/><Relationship Id="rId33" Type="http://schemas.openxmlformats.org/officeDocument/2006/relationships/hyperlink" Target="https://wandb.ai/v-balmer/ShellSim_FFNN_v1/runs/lq5byzzk" TargetMode="External"/><Relationship Id="rId38" Type="http://schemas.openxmlformats.org/officeDocument/2006/relationships/hyperlink" Target="https://wandb.ai/v-balmer/ShellSim_FFNN_v1/runs/q76072xt" TargetMode="External"/><Relationship Id="rId46" Type="http://schemas.openxmlformats.org/officeDocument/2006/relationships/hyperlink" Target="https://wandb.ai/v-balmer/ShellSim_FFNN_v1/runs/99aw2pv3" TargetMode="External"/><Relationship Id="rId59" Type="http://schemas.openxmlformats.org/officeDocument/2006/relationships/hyperlink" Target="https://wandb.ai/v-balmer/ShellSim_FFNN_v1_onlyTest/runs/ajkavowk" TargetMode="External"/><Relationship Id="rId67" Type="http://schemas.openxmlformats.org/officeDocument/2006/relationships/hyperlink" Target="https://wandb.ai/v-balmer/ShellSim_FFNN_v1/runs/zznxa0ot?nw=nwuservbalmer" TargetMode="External"/><Relationship Id="rId20" Type="http://schemas.openxmlformats.org/officeDocument/2006/relationships/hyperlink" Target="https://wandb.ai/v-balmer/ShellSim_FFNN_v1_onlyTest/runs/kjq6ntgx" TargetMode="External"/><Relationship Id="rId41" Type="http://schemas.openxmlformats.org/officeDocument/2006/relationships/hyperlink" Target="https://wandb.ai/v-balmer/ShellSim_FFNN_v1/runs/qe799sdo" TargetMode="External"/><Relationship Id="rId54" Type="http://schemas.openxmlformats.org/officeDocument/2006/relationships/hyperlink" Target="https://wandb.ai/v-balmer/ShellSim_FFNN_v1/runs/mxwvxnqe" TargetMode="External"/><Relationship Id="rId62" Type="http://schemas.openxmlformats.org/officeDocument/2006/relationships/hyperlink" Target="https://wandb.ai/v-balmer/ShellSim_FFNN_v1/runs/34dqye6b" TargetMode="External"/><Relationship Id="rId70" Type="http://schemas.openxmlformats.org/officeDocument/2006/relationships/hyperlink" Target="https://wandb.ai/v-balmer/ShellSim_FFNN_v1/runs/3mvac819" TargetMode="External"/><Relationship Id="rId1" Type="http://schemas.openxmlformats.org/officeDocument/2006/relationships/hyperlink" Target="https://wandb.ai/v-balmer/ShellSim_FFNN_v0/runs/phac4lc9" TargetMode="External"/><Relationship Id="rId6" Type="http://schemas.openxmlformats.org/officeDocument/2006/relationships/hyperlink" Target="https://wandb.ai/v-balmer/ShellSim_FFNN_v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579E-270B-49CC-83F9-0170FCAB4ECC}">
  <dimension ref="A1:V115"/>
  <sheetViews>
    <sheetView tabSelected="1" zoomScale="70" zoomScaleNormal="70" workbookViewId="0">
      <pane ySplit="4" topLeftCell="A46" activePane="bottomLeft" state="frozen"/>
      <selection pane="bottomLeft" activeCell="S52" sqref="S52"/>
    </sheetView>
  </sheetViews>
  <sheetFormatPr defaultRowHeight="12.75" x14ac:dyDescent="0.2"/>
  <cols>
    <col min="1" max="1" width="10.140625" style="7" bestFit="1" customWidth="1"/>
    <col min="2" max="2" width="16.140625" style="7" bestFit="1" customWidth="1"/>
    <col min="3" max="3" width="10.42578125" style="120" bestFit="1" customWidth="1"/>
    <col min="4" max="4" width="28" style="120" bestFit="1" customWidth="1"/>
    <col min="5" max="5" width="12.140625" style="121" bestFit="1" customWidth="1"/>
    <col min="6" max="6" width="17.28515625" style="7" bestFit="1" customWidth="1"/>
    <col min="7" max="7" width="10.28515625" style="7" bestFit="1" customWidth="1"/>
    <col min="8" max="8" width="12.28515625" style="7" bestFit="1" customWidth="1"/>
    <col min="9" max="9" width="9.7109375" style="7" bestFit="1" customWidth="1"/>
    <col min="10" max="10" width="9.140625" style="7"/>
    <col min="11" max="11" width="19.140625" style="7" bestFit="1" customWidth="1"/>
    <col min="12" max="12" width="12" style="7" customWidth="1"/>
    <col min="13" max="13" width="9.5703125" style="7" bestFit="1" customWidth="1"/>
    <col min="14" max="16" width="9.140625" style="7"/>
    <col min="17" max="17" width="12.5703125" style="7" bestFit="1" customWidth="1"/>
    <col min="18" max="18" width="11.28515625" style="120" bestFit="1" customWidth="1"/>
    <col min="19" max="19" width="49.140625" style="121" customWidth="1"/>
    <col min="20" max="20" width="30.28515625" style="121" customWidth="1"/>
    <col min="21" max="21" width="74.7109375" style="7" customWidth="1"/>
    <col min="22" max="16384" width="9.140625" style="7"/>
  </cols>
  <sheetData>
    <row r="1" spans="1:21" x14ac:dyDescent="0.2">
      <c r="A1" s="6" t="s">
        <v>0</v>
      </c>
      <c r="C1" s="7"/>
      <c r="D1" s="59" t="s">
        <v>75</v>
      </c>
      <c r="E1" s="7" t="s">
        <v>105</v>
      </c>
      <c r="R1" s="7"/>
      <c r="S1" s="61"/>
      <c r="T1" s="7"/>
    </row>
    <row r="2" spans="1:21" x14ac:dyDescent="0.2">
      <c r="A2" s="7" t="s">
        <v>1</v>
      </c>
      <c r="C2" s="7"/>
      <c r="D2" s="63" t="s">
        <v>76</v>
      </c>
      <c r="E2" s="7"/>
      <c r="R2" s="7"/>
      <c r="S2" s="61"/>
      <c r="T2" s="7"/>
    </row>
    <row r="3" spans="1:21" x14ac:dyDescent="0.2">
      <c r="C3" s="7"/>
      <c r="D3" s="7"/>
      <c r="E3" s="7"/>
      <c r="R3" s="7"/>
      <c r="S3" s="61"/>
      <c r="T3" s="7"/>
    </row>
    <row r="4" spans="1:21" x14ac:dyDescent="0.2">
      <c r="A4" s="8" t="s">
        <v>2</v>
      </c>
      <c r="B4" s="9" t="s">
        <v>3</v>
      </c>
      <c r="C4" s="9" t="s">
        <v>4</v>
      </c>
      <c r="D4" s="10" t="s">
        <v>5</v>
      </c>
      <c r="E4" s="10" t="s">
        <v>6</v>
      </c>
      <c r="F4" s="153" t="s">
        <v>7</v>
      </c>
      <c r="G4" s="153"/>
      <c r="H4" s="153"/>
      <c r="I4" s="153"/>
      <c r="J4" s="153"/>
      <c r="K4" s="153"/>
      <c r="L4" s="153"/>
      <c r="M4" s="153"/>
      <c r="N4" s="153"/>
      <c r="O4" s="153"/>
      <c r="P4" s="153"/>
      <c r="Q4" s="153"/>
      <c r="R4" s="154"/>
      <c r="S4" s="9" t="s">
        <v>8</v>
      </c>
      <c r="T4" s="10" t="s">
        <v>9</v>
      </c>
      <c r="U4" s="8" t="s">
        <v>10</v>
      </c>
    </row>
    <row r="5" spans="1:21" x14ac:dyDescent="0.2">
      <c r="A5" s="11"/>
      <c r="B5" s="12" t="s">
        <v>11</v>
      </c>
      <c r="C5" s="14"/>
      <c r="D5" s="14"/>
      <c r="E5" s="13"/>
      <c r="F5" s="21" t="s">
        <v>12</v>
      </c>
      <c r="G5" s="15" t="s">
        <v>13</v>
      </c>
      <c r="H5" s="15" t="s">
        <v>14</v>
      </c>
      <c r="I5" s="15" t="s">
        <v>15</v>
      </c>
      <c r="J5" s="15" t="s">
        <v>16</v>
      </c>
      <c r="K5" s="15" t="s">
        <v>17</v>
      </c>
      <c r="L5" s="15" t="s">
        <v>18</v>
      </c>
      <c r="M5" s="15" t="s">
        <v>19</v>
      </c>
      <c r="N5" s="15" t="s">
        <v>20</v>
      </c>
      <c r="O5" s="15" t="s">
        <v>21</v>
      </c>
      <c r="P5" s="15" t="s">
        <v>132</v>
      </c>
      <c r="Q5" s="15" t="s">
        <v>22</v>
      </c>
      <c r="R5" s="16" t="s">
        <v>23</v>
      </c>
      <c r="S5" s="12"/>
      <c r="T5" s="14"/>
      <c r="U5" s="13"/>
    </row>
    <row r="6" spans="1:21" ht="105" x14ac:dyDescent="0.2">
      <c r="A6" s="18">
        <v>1</v>
      </c>
      <c r="B6" s="19">
        <v>45568</v>
      </c>
      <c r="C6" s="4" t="s">
        <v>32</v>
      </c>
      <c r="D6" s="20" t="s">
        <v>24</v>
      </c>
      <c r="E6" s="1" t="s">
        <v>25</v>
      </c>
      <c r="F6" s="2" t="s">
        <v>26</v>
      </c>
      <c r="G6" s="3" t="s">
        <v>27</v>
      </c>
      <c r="H6" s="2">
        <v>300</v>
      </c>
      <c r="I6" s="2" t="s">
        <v>28</v>
      </c>
      <c r="J6" s="2">
        <v>0.05</v>
      </c>
      <c r="K6" s="2" t="s">
        <v>29</v>
      </c>
      <c r="L6" s="2">
        <v>0</v>
      </c>
      <c r="M6" s="2" t="b">
        <v>1</v>
      </c>
      <c r="N6" s="2" t="b">
        <v>0</v>
      </c>
      <c r="O6" s="35"/>
      <c r="P6" s="3"/>
      <c r="Q6" s="2" t="b">
        <v>0</v>
      </c>
      <c r="R6" s="4" t="b">
        <v>0</v>
      </c>
      <c r="S6" s="5" t="s">
        <v>27</v>
      </c>
      <c r="T6" s="5" t="s">
        <v>31</v>
      </c>
      <c r="U6" s="17" t="s">
        <v>33</v>
      </c>
    </row>
    <row r="7" spans="1:21" ht="60" x14ac:dyDescent="0.2">
      <c r="A7" s="18">
        <v>2</v>
      </c>
      <c r="B7" s="19">
        <v>45568</v>
      </c>
      <c r="C7" s="4" t="s">
        <v>32</v>
      </c>
      <c r="D7" s="20" t="s">
        <v>24</v>
      </c>
      <c r="E7" s="1" t="s">
        <v>25</v>
      </c>
      <c r="F7" s="2" t="s">
        <v>34</v>
      </c>
      <c r="G7" s="3">
        <v>64</v>
      </c>
      <c r="H7" s="2">
        <v>400</v>
      </c>
      <c r="I7" s="2" t="s">
        <v>28</v>
      </c>
      <c r="J7" s="2">
        <v>1E-3</v>
      </c>
      <c r="K7" s="2" t="s">
        <v>35</v>
      </c>
      <c r="L7" s="2">
        <v>0</v>
      </c>
      <c r="M7" s="2" t="b">
        <v>1</v>
      </c>
      <c r="N7" s="2" t="b">
        <v>0</v>
      </c>
      <c r="O7" s="35"/>
      <c r="P7" s="3"/>
      <c r="Q7" s="2" t="b">
        <v>0</v>
      </c>
      <c r="R7" s="4" t="b">
        <v>0</v>
      </c>
      <c r="S7" s="5" t="s">
        <v>27</v>
      </c>
      <c r="T7" s="5" t="s">
        <v>43</v>
      </c>
      <c r="U7" s="17" t="s">
        <v>36</v>
      </c>
    </row>
    <row r="8" spans="1:21" ht="60" x14ac:dyDescent="0.2">
      <c r="A8" s="18">
        <v>3</v>
      </c>
      <c r="B8" s="19">
        <v>45568</v>
      </c>
      <c r="C8" s="4" t="s">
        <v>32</v>
      </c>
      <c r="D8" s="20" t="s">
        <v>24</v>
      </c>
      <c r="E8" s="1" t="s">
        <v>25</v>
      </c>
      <c r="F8" s="2" t="s">
        <v>34</v>
      </c>
      <c r="G8" s="3">
        <v>64</v>
      </c>
      <c r="H8" s="2">
        <v>400</v>
      </c>
      <c r="I8" s="2" t="s">
        <v>28</v>
      </c>
      <c r="J8" s="2">
        <v>1E-3</v>
      </c>
      <c r="K8" s="2" t="s">
        <v>35</v>
      </c>
      <c r="L8" s="2">
        <v>0</v>
      </c>
      <c r="M8" s="2" t="b">
        <v>1</v>
      </c>
      <c r="N8" s="2" t="b">
        <v>0</v>
      </c>
      <c r="O8" s="35"/>
      <c r="P8" s="3"/>
      <c r="Q8" s="2" t="b">
        <v>0</v>
      </c>
      <c r="R8" s="4" t="b">
        <v>0</v>
      </c>
      <c r="S8" s="24" t="s">
        <v>37</v>
      </c>
      <c r="T8" s="5" t="s">
        <v>38</v>
      </c>
      <c r="U8" s="22" t="s">
        <v>73</v>
      </c>
    </row>
    <row r="9" spans="1:21" ht="105" x14ac:dyDescent="0.2">
      <c r="A9" s="18">
        <v>4</v>
      </c>
      <c r="B9" s="19">
        <v>45568</v>
      </c>
      <c r="C9" s="4" t="s">
        <v>32</v>
      </c>
      <c r="D9" s="20" t="s">
        <v>24</v>
      </c>
      <c r="E9" s="1" t="s">
        <v>25</v>
      </c>
      <c r="F9" s="2" t="s">
        <v>34</v>
      </c>
      <c r="G9" s="3">
        <v>64</v>
      </c>
      <c r="H9" s="2">
        <v>400</v>
      </c>
      <c r="I9" s="2" t="s">
        <v>28</v>
      </c>
      <c r="J9" s="2">
        <v>1E-3</v>
      </c>
      <c r="K9" s="2" t="s">
        <v>35</v>
      </c>
      <c r="L9" s="2">
        <v>0</v>
      </c>
      <c r="M9" s="2" t="b">
        <v>1</v>
      </c>
      <c r="N9" s="2" t="b">
        <v>0</v>
      </c>
      <c r="O9" s="35"/>
      <c r="P9" s="3"/>
      <c r="Q9" s="2" t="b">
        <v>0</v>
      </c>
      <c r="R9" s="4" t="b">
        <v>0</v>
      </c>
      <c r="S9" s="24" t="s">
        <v>39</v>
      </c>
      <c r="T9" s="5" t="s">
        <v>42</v>
      </c>
      <c r="U9" s="22" t="s">
        <v>47</v>
      </c>
    </row>
    <row r="10" spans="1:21" ht="15" x14ac:dyDescent="0.2">
      <c r="A10" s="18">
        <v>5</v>
      </c>
      <c r="B10" s="19">
        <v>45568</v>
      </c>
      <c r="C10" s="4" t="s">
        <v>32</v>
      </c>
      <c r="D10" s="20" t="s">
        <v>24</v>
      </c>
      <c r="E10" s="1" t="s">
        <v>25</v>
      </c>
      <c r="F10" s="2" t="s">
        <v>34</v>
      </c>
      <c r="G10" s="3">
        <v>64</v>
      </c>
      <c r="H10" s="2">
        <v>400</v>
      </c>
      <c r="I10" s="2" t="s">
        <v>28</v>
      </c>
      <c r="J10" s="2">
        <v>1E-3</v>
      </c>
      <c r="K10" s="2" t="s">
        <v>35</v>
      </c>
      <c r="L10" s="2">
        <v>0</v>
      </c>
      <c r="M10" s="2" t="b">
        <v>1</v>
      </c>
      <c r="N10" s="2" t="b">
        <v>0</v>
      </c>
      <c r="O10" s="35"/>
      <c r="P10" s="3"/>
      <c r="Q10" s="2" t="b">
        <v>0</v>
      </c>
      <c r="R10" s="4" t="b">
        <v>0</v>
      </c>
      <c r="S10" s="24" t="s">
        <v>41</v>
      </c>
      <c r="T10" s="5" t="s">
        <v>44</v>
      </c>
      <c r="U10" s="17" t="s">
        <v>40</v>
      </c>
    </row>
    <row r="11" spans="1:21" ht="30" x14ac:dyDescent="0.2">
      <c r="A11" s="25">
        <v>6</v>
      </c>
      <c r="B11" s="26">
        <v>45572</v>
      </c>
      <c r="C11" s="27" t="s">
        <v>32</v>
      </c>
      <c r="D11" s="28" t="s">
        <v>24</v>
      </c>
      <c r="E11" s="29" t="s">
        <v>25</v>
      </c>
      <c r="F11" s="34" t="s">
        <v>34</v>
      </c>
      <c r="G11" s="31">
        <v>64</v>
      </c>
      <c r="H11" s="30">
        <v>300</v>
      </c>
      <c r="I11" s="30" t="s">
        <v>28</v>
      </c>
      <c r="J11" s="30">
        <v>1E-3</v>
      </c>
      <c r="K11" s="30" t="s">
        <v>35</v>
      </c>
      <c r="L11" s="30">
        <v>0</v>
      </c>
      <c r="M11" s="30" t="b">
        <v>1</v>
      </c>
      <c r="N11" s="30" t="b">
        <v>0</v>
      </c>
      <c r="O11" s="36"/>
      <c r="P11" s="31"/>
      <c r="Q11" s="30" t="b">
        <v>0</v>
      </c>
      <c r="R11" s="27" t="b">
        <v>0</v>
      </c>
      <c r="S11" s="37" t="s">
        <v>45</v>
      </c>
      <c r="T11" s="32" t="s">
        <v>46</v>
      </c>
      <c r="U11" s="33" t="s">
        <v>49</v>
      </c>
    </row>
    <row r="12" spans="1:21" ht="45" x14ac:dyDescent="0.2">
      <c r="A12" s="18">
        <v>7</v>
      </c>
      <c r="B12" s="19">
        <v>45572</v>
      </c>
      <c r="C12" s="4" t="s">
        <v>32</v>
      </c>
      <c r="D12" s="20" t="s">
        <v>24</v>
      </c>
      <c r="E12" s="1" t="s">
        <v>25</v>
      </c>
      <c r="F12" s="2" t="s">
        <v>34</v>
      </c>
      <c r="G12" s="3">
        <v>64</v>
      </c>
      <c r="H12" s="2">
        <v>300</v>
      </c>
      <c r="I12" s="2" t="s">
        <v>28</v>
      </c>
      <c r="J12" s="2">
        <v>1E-3</v>
      </c>
      <c r="K12" s="2" t="s">
        <v>35</v>
      </c>
      <c r="L12" s="2">
        <v>0</v>
      </c>
      <c r="M12" s="2" t="b">
        <v>1</v>
      </c>
      <c r="N12" s="2" t="b">
        <v>0</v>
      </c>
      <c r="O12" s="35"/>
      <c r="P12" s="3"/>
      <c r="Q12" s="2" t="b">
        <v>0</v>
      </c>
      <c r="R12" s="4" t="b">
        <v>0</v>
      </c>
      <c r="S12" s="24" t="s">
        <v>48</v>
      </c>
      <c r="T12" s="38" t="s">
        <v>50</v>
      </c>
      <c r="U12" s="17" t="s">
        <v>51</v>
      </c>
    </row>
    <row r="13" spans="1:21" ht="60" x14ac:dyDescent="0.2">
      <c r="A13" s="18">
        <v>8</v>
      </c>
      <c r="B13" s="19">
        <v>45572</v>
      </c>
      <c r="C13" s="4" t="s">
        <v>32</v>
      </c>
      <c r="D13" s="20" t="s">
        <v>24</v>
      </c>
      <c r="E13" s="1" t="s">
        <v>25</v>
      </c>
      <c r="F13" s="2" t="s">
        <v>34</v>
      </c>
      <c r="G13" s="3">
        <v>64</v>
      </c>
      <c r="H13" s="2">
        <v>200</v>
      </c>
      <c r="I13" s="2" t="s">
        <v>28</v>
      </c>
      <c r="J13" s="2">
        <v>1E-3</v>
      </c>
      <c r="K13" s="2" t="s">
        <v>35</v>
      </c>
      <c r="L13" s="2">
        <v>0.1</v>
      </c>
      <c r="M13" s="2" t="b">
        <v>1</v>
      </c>
      <c r="N13" s="2" t="b">
        <v>0</v>
      </c>
      <c r="O13" s="35"/>
      <c r="P13" s="3"/>
      <c r="Q13" s="2" t="b">
        <v>0</v>
      </c>
      <c r="R13" s="4" t="b">
        <v>0</v>
      </c>
      <c r="S13" s="39" t="s">
        <v>54</v>
      </c>
      <c r="T13" s="38" t="s">
        <v>52</v>
      </c>
      <c r="U13" s="17" t="s">
        <v>58</v>
      </c>
    </row>
    <row r="14" spans="1:21" ht="30" x14ac:dyDescent="0.2">
      <c r="A14" s="18">
        <v>9</v>
      </c>
      <c r="B14" s="19">
        <v>45572</v>
      </c>
      <c r="C14" s="4" t="s">
        <v>32</v>
      </c>
      <c r="D14" s="20" t="s">
        <v>24</v>
      </c>
      <c r="E14" s="1" t="s">
        <v>25</v>
      </c>
      <c r="F14" s="2" t="s">
        <v>34</v>
      </c>
      <c r="G14" s="3">
        <v>64</v>
      </c>
      <c r="H14" s="2">
        <v>200</v>
      </c>
      <c r="I14" s="2" t="s">
        <v>28</v>
      </c>
      <c r="J14" s="2">
        <v>1E-3</v>
      </c>
      <c r="K14" s="2" t="s">
        <v>29</v>
      </c>
      <c r="L14" s="2">
        <v>0.1</v>
      </c>
      <c r="M14" s="2" t="b">
        <v>1</v>
      </c>
      <c r="N14" s="2" t="b">
        <v>0</v>
      </c>
      <c r="O14" s="35"/>
      <c r="P14" s="35"/>
      <c r="Q14" s="2" t="b">
        <v>0</v>
      </c>
      <c r="R14" s="4" t="b">
        <v>0</v>
      </c>
      <c r="S14" s="24" t="s">
        <v>53</v>
      </c>
      <c r="T14" s="5" t="s">
        <v>55</v>
      </c>
      <c r="U14" s="17" t="s">
        <v>57</v>
      </c>
    </row>
    <row r="15" spans="1:21" ht="90" x14ac:dyDescent="0.2">
      <c r="A15" s="18">
        <v>10</v>
      </c>
      <c r="B15" s="19">
        <v>45572</v>
      </c>
      <c r="C15" s="4" t="s">
        <v>32</v>
      </c>
      <c r="D15" s="20" t="s">
        <v>24</v>
      </c>
      <c r="E15" s="1" t="s">
        <v>25</v>
      </c>
      <c r="F15" s="2" t="s">
        <v>34</v>
      </c>
      <c r="G15" s="3">
        <v>64</v>
      </c>
      <c r="H15" s="2">
        <v>100</v>
      </c>
      <c r="I15" s="2" t="s">
        <v>28</v>
      </c>
      <c r="J15" s="2">
        <v>1E-3</v>
      </c>
      <c r="K15" s="2" t="s">
        <v>29</v>
      </c>
      <c r="L15" s="2">
        <v>0.1</v>
      </c>
      <c r="M15" s="2" t="b">
        <v>1</v>
      </c>
      <c r="N15" s="2" t="b">
        <v>1</v>
      </c>
      <c r="O15" s="3" t="s">
        <v>30</v>
      </c>
      <c r="P15" s="35"/>
      <c r="Q15" s="2" t="b">
        <v>0</v>
      </c>
      <c r="R15" s="4" t="b">
        <v>0</v>
      </c>
      <c r="S15" s="39" t="s">
        <v>59</v>
      </c>
      <c r="T15" s="5" t="s">
        <v>56</v>
      </c>
      <c r="U15" s="17" t="s">
        <v>63</v>
      </c>
    </row>
    <row r="16" spans="1:21" ht="60" x14ac:dyDescent="0.2">
      <c r="A16" s="41">
        <v>11</v>
      </c>
      <c r="B16" s="42">
        <v>45572</v>
      </c>
      <c r="C16" s="43" t="s">
        <v>32</v>
      </c>
      <c r="D16" s="44" t="s">
        <v>24</v>
      </c>
      <c r="E16" s="45" t="s">
        <v>25</v>
      </c>
      <c r="F16" s="46" t="s">
        <v>60</v>
      </c>
      <c r="G16" s="47">
        <v>64</v>
      </c>
      <c r="H16" s="46">
        <v>300</v>
      </c>
      <c r="I16" s="46" t="s">
        <v>28</v>
      </c>
      <c r="J16" s="46">
        <v>1E-3</v>
      </c>
      <c r="K16" s="46" t="s">
        <v>29</v>
      </c>
      <c r="L16" s="46">
        <v>0.1</v>
      </c>
      <c r="M16" s="46" t="b">
        <v>1</v>
      </c>
      <c r="N16" s="46" t="b">
        <v>1</v>
      </c>
      <c r="O16" s="47" t="s">
        <v>30</v>
      </c>
      <c r="P16" s="91"/>
      <c r="Q16" s="46" t="b">
        <v>0</v>
      </c>
      <c r="R16" s="43" t="b">
        <v>0</v>
      </c>
      <c r="S16" s="48" t="s">
        <v>61</v>
      </c>
      <c r="T16" s="49" t="s">
        <v>62</v>
      </c>
      <c r="U16" s="50" t="s">
        <v>64</v>
      </c>
    </row>
    <row r="17" spans="1:22" ht="90" x14ac:dyDescent="0.2">
      <c r="A17" s="18">
        <v>12</v>
      </c>
      <c r="B17" s="19">
        <v>45573</v>
      </c>
      <c r="C17" s="4" t="s">
        <v>32</v>
      </c>
      <c r="D17" s="20" t="s">
        <v>24</v>
      </c>
      <c r="E17" s="1" t="s">
        <v>25</v>
      </c>
      <c r="F17" s="2" t="s">
        <v>34</v>
      </c>
      <c r="G17" s="3">
        <v>64</v>
      </c>
      <c r="H17" s="2">
        <v>25</v>
      </c>
      <c r="I17" s="2" t="s">
        <v>28</v>
      </c>
      <c r="J17" s="2">
        <v>1E-3</v>
      </c>
      <c r="K17" s="2" t="s">
        <v>29</v>
      </c>
      <c r="L17" s="2">
        <v>0.1</v>
      </c>
      <c r="M17" s="2" t="b">
        <v>1</v>
      </c>
      <c r="N17" s="2" t="b">
        <v>1</v>
      </c>
      <c r="O17" s="3" t="s">
        <v>30</v>
      </c>
      <c r="P17" s="35"/>
      <c r="Q17" s="2" t="b">
        <v>0</v>
      </c>
      <c r="R17" s="4" t="b">
        <v>0</v>
      </c>
      <c r="S17" s="24" t="s">
        <v>65</v>
      </c>
      <c r="T17" s="38" t="s">
        <v>62</v>
      </c>
      <c r="U17" s="17" t="s">
        <v>66</v>
      </c>
    </row>
    <row r="18" spans="1:22" ht="60" x14ac:dyDescent="0.2">
      <c r="A18" s="18">
        <v>13</v>
      </c>
      <c r="B18" s="19">
        <v>45573</v>
      </c>
      <c r="C18" s="4" t="s">
        <v>32</v>
      </c>
      <c r="D18" s="20" t="s">
        <v>24</v>
      </c>
      <c r="E18" s="1" t="s">
        <v>25</v>
      </c>
      <c r="F18" s="2" t="s">
        <v>34</v>
      </c>
      <c r="G18" s="3">
        <v>64</v>
      </c>
      <c r="H18" s="2">
        <v>100</v>
      </c>
      <c r="I18" s="2" t="s">
        <v>28</v>
      </c>
      <c r="J18" s="2">
        <v>1E-3</v>
      </c>
      <c r="K18" s="2" t="s">
        <v>29</v>
      </c>
      <c r="L18" s="2">
        <v>0.1</v>
      </c>
      <c r="M18" s="2" t="b">
        <v>1</v>
      </c>
      <c r="N18" s="2" t="b">
        <v>0</v>
      </c>
      <c r="O18" s="35"/>
      <c r="P18" s="35"/>
      <c r="Q18" s="2" t="b">
        <v>0</v>
      </c>
      <c r="R18" s="4" t="b">
        <v>0</v>
      </c>
      <c r="S18" s="39" t="s">
        <v>67</v>
      </c>
      <c r="T18" s="38" t="s">
        <v>68</v>
      </c>
      <c r="U18" s="17" t="s">
        <v>69</v>
      </c>
    </row>
    <row r="19" spans="1:22" ht="60" x14ac:dyDescent="0.2">
      <c r="A19" s="18">
        <v>14</v>
      </c>
      <c r="B19" s="19">
        <v>45573</v>
      </c>
      <c r="C19" s="4" t="s">
        <v>32</v>
      </c>
      <c r="D19" s="20" t="s">
        <v>24</v>
      </c>
      <c r="E19" s="1" t="s">
        <v>25</v>
      </c>
      <c r="F19" s="2" t="s">
        <v>34</v>
      </c>
      <c r="G19" s="3">
        <v>64</v>
      </c>
      <c r="H19" s="2">
        <v>100</v>
      </c>
      <c r="I19" s="2" t="s">
        <v>28</v>
      </c>
      <c r="J19" s="2">
        <v>1E-3</v>
      </c>
      <c r="K19" s="2" t="s">
        <v>29</v>
      </c>
      <c r="L19" s="2">
        <v>0.1</v>
      </c>
      <c r="M19" s="2" t="b">
        <v>1</v>
      </c>
      <c r="N19" s="2" t="b">
        <v>0</v>
      </c>
      <c r="O19" s="35"/>
      <c r="P19" s="35"/>
      <c r="Q19" s="2" t="b">
        <v>0</v>
      </c>
      <c r="R19" s="4" t="b">
        <v>0</v>
      </c>
      <c r="S19" s="39" t="s">
        <v>71</v>
      </c>
      <c r="T19" s="5" t="s">
        <v>72</v>
      </c>
      <c r="U19" s="17" t="s">
        <v>70</v>
      </c>
    </row>
    <row r="20" spans="1:22" ht="60" x14ac:dyDescent="0.2">
      <c r="A20" s="51">
        <v>15</v>
      </c>
      <c r="B20" s="52">
        <v>45573</v>
      </c>
      <c r="C20" s="53" t="s">
        <v>32</v>
      </c>
      <c r="D20" s="54" t="s">
        <v>24</v>
      </c>
      <c r="E20" s="55" t="s">
        <v>25</v>
      </c>
      <c r="F20" s="56" t="s">
        <v>34</v>
      </c>
      <c r="G20" s="57">
        <v>64</v>
      </c>
      <c r="H20" s="57">
        <v>100</v>
      </c>
      <c r="I20" s="57" t="s">
        <v>28</v>
      </c>
      <c r="J20" s="57">
        <v>1E-3</v>
      </c>
      <c r="K20" s="57" t="s">
        <v>29</v>
      </c>
      <c r="L20" s="57">
        <v>0.1</v>
      </c>
      <c r="M20" s="57" t="b">
        <v>1</v>
      </c>
      <c r="N20" s="57" t="b">
        <v>0</v>
      </c>
      <c r="O20" s="57"/>
      <c r="P20" s="57"/>
      <c r="Q20" s="57" t="b">
        <v>0</v>
      </c>
      <c r="R20" s="53" t="b">
        <v>0</v>
      </c>
      <c r="S20" s="62" t="s">
        <v>79</v>
      </c>
      <c r="T20" s="60" t="s">
        <v>78</v>
      </c>
      <c r="U20" s="58" t="s">
        <v>74</v>
      </c>
    </row>
    <row r="21" spans="1:22" ht="60" x14ac:dyDescent="0.2">
      <c r="A21" s="18">
        <v>16</v>
      </c>
      <c r="B21" s="19">
        <v>45573</v>
      </c>
      <c r="C21" s="4" t="s">
        <v>77</v>
      </c>
      <c r="D21" s="20" t="s">
        <v>24</v>
      </c>
      <c r="E21" s="1" t="s">
        <v>25</v>
      </c>
      <c r="F21" s="2" t="s">
        <v>34</v>
      </c>
      <c r="G21" s="3">
        <v>64</v>
      </c>
      <c r="H21" s="2">
        <v>100</v>
      </c>
      <c r="I21" s="2" t="s">
        <v>28</v>
      </c>
      <c r="J21" s="2">
        <v>1E-3</v>
      </c>
      <c r="K21" s="2" t="s">
        <v>29</v>
      </c>
      <c r="L21" s="2">
        <v>0.1</v>
      </c>
      <c r="M21" s="2" t="b">
        <v>1</v>
      </c>
      <c r="N21" s="2" t="b">
        <v>0</v>
      </c>
      <c r="O21" s="35"/>
      <c r="P21" s="35"/>
      <c r="Q21" s="2" t="b">
        <v>0</v>
      </c>
      <c r="R21" s="4" t="b">
        <v>0</v>
      </c>
      <c r="S21" s="39" t="s">
        <v>81</v>
      </c>
      <c r="T21" s="38" t="s">
        <v>82</v>
      </c>
      <c r="U21" s="17" t="s">
        <v>80</v>
      </c>
    </row>
    <row r="22" spans="1:22" ht="60" x14ac:dyDescent="0.2">
      <c r="A22" s="18">
        <v>16</v>
      </c>
      <c r="B22" s="19">
        <v>45573</v>
      </c>
      <c r="C22" s="4" t="s">
        <v>77</v>
      </c>
      <c r="D22" s="20" t="s">
        <v>24</v>
      </c>
      <c r="E22" s="1" t="s">
        <v>25</v>
      </c>
      <c r="F22" s="2" t="s">
        <v>34</v>
      </c>
      <c r="G22" s="3">
        <v>64</v>
      </c>
      <c r="H22" s="2">
        <v>100</v>
      </c>
      <c r="I22" s="2" t="s">
        <v>28</v>
      </c>
      <c r="J22" s="2">
        <v>1E-3</v>
      </c>
      <c r="K22" s="2" t="s">
        <v>29</v>
      </c>
      <c r="L22" s="2">
        <v>0.1</v>
      </c>
      <c r="M22" s="2" t="b">
        <v>1</v>
      </c>
      <c r="N22" s="2" t="b">
        <v>0</v>
      </c>
      <c r="O22" s="35"/>
      <c r="P22" s="35"/>
      <c r="Q22" s="2" t="b">
        <v>0</v>
      </c>
      <c r="R22" s="4" t="b">
        <v>0</v>
      </c>
      <c r="S22" s="39" t="s">
        <v>81</v>
      </c>
      <c r="T22" s="38" t="s">
        <v>82</v>
      </c>
      <c r="U22" s="17" t="s">
        <v>83</v>
      </c>
    </row>
    <row r="23" spans="1:22" ht="75" x14ac:dyDescent="0.2">
      <c r="A23" s="64">
        <v>17</v>
      </c>
      <c r="B23" s="65">
        <v>45573</v>
      </c>
      <c r="C23" s="66" t="s">
        <v>77</v>
      </c>
      <c r="D23" s="67" t="s">
        <v>24</v>
      </c>
      <c r="E23" s="68" t="s">
        <v>25</v>
      </c>
      <c r="F23" s="3" t="s">
        <v>34</v>
      </c>
      <c r="G23" s="3">
        <v>64</v>
      </c>
      <c r="H23" s="3">
        <v>100</v>
      </c>
      <c r="I23" s="3" t="s">
        <v>28</v>
      </c>
      <c r="J23" s="3">
        <v>1E-3</v>
      </c>
      <c r="K23" s="3" t="s">
        <v>29</v>
      </c>
      <c r="L23" s="3">
        <v>0.1</v>
      </c>
      <c r="M23" s="3" t="b">
        <v>1</v>
      </c>
      <c r="N23" s="3" t="b">
        <v>1</v>
      </c>
      <c r="O23" s="3" t="s">
        <v>30</v>
      </c>
      <c r="P23" s="35"/>
      <c r="Q23" s="3" t="b">
        <v>0</v>
      </c>
      <c r="R23" s="66" t="b">
        <v>0</v>
      </c>
      <c r="S23" s="69" t="s">
        <v>84</v>
      </c>
      <c r="T23" s="70" t="s">
        <v>85</v>
      </c>
      <c r="U23" s="17" t="s">
        <v>87</v>
      </c>
    </row>
    <row r="24" spans="1:22" ht="60" x14ac:dyDescent="0.2">
      <c r="A24" s="18">
        <v>17</v>
      </c>
      <c r="B24" s="19">
        <v>45573</v>
      </c>
      <c r="C24" s="4" t="s">
        <v>77</v>
      </c>
      <c r="D24" s="20" t="s">
        <v>24</v>
      </c>
      <c r="E24" s="1" t="s">
        <v>25</v>
      </c>
      <c r="F24" s="2" t="s">
        <v>86</v>
      </c>
      <c r="G24" s="3">
        <v>64</v>
      </c>
      <c r="H24" s="2">
        <v>100</v>
      </c>
      <c r="I24" s="2" t="s">
        <v>28</v>
      </c>
      <c r="J24" s="2">
        <v>1E-3</v>
      </c>
      <c r="K24" s="2" t="s">
        <v>29</v>
      </c>
      <c r="L24" s="2">
        <v>0.1</v>
      </c>
      <c r="M24" s="2" t="b">
        <v>1</v>
      </c>
      <c r="N24" s="2" t="b">
        <v>1</v>
      </c>
      <c r="O24" s="2" t="s">
        <v>30</v>
      </c>
      <c r="P24" s="35"/>
      <c r="Q24" s="2" t="b">
        <v>0</v>
      </c>
      <c r="R24" s="4" t="b">
        <v>0</v>
      </c>
      <c r="S24" s="39" t="s">
        <v>89</v>
      </c>
      <c r="T24" s="38" t="s">
        <v>90</v>
      </c>
      <c r="U24" s="17" t="s">
        <v>88</v>
      </c>
    </row>
    <row r="25" spans="1:22" ht="60" x14ac:dyDescent="0.25">
      <c r="A25" s="18">
        <v>18</v>
      </c>
      <c r="B25" s="19">
        <v>45573</v>
      </c>
      <c r="C25" s="4" t="s">
        <v>77</v>
      </c>
      <c r="D25" s="20" t="s">
        <v>24</v>
      </c>
      <c r="E25" s="1" t="s">
        <v>25</v>
      </c>
      <c r="F25" s="2" t="s">
        <v>91</v>
      </c>
      <c r="G25" s="3">
        <v>64</v>
      </c>
      <c r="H25" s="2">
        <v>100</v>
      </c>
      <c r="I25" s="2" t="s">
        <v>28</v>
      </c>
      <c r="J25" s="2">
        <v>1E-3</v>
      </c>
      <c r="K25" s="2" t="s">
        <v>29</v>
      </c>
      <c r="L25" s="2">
        <v>0.1</v>
      </c>
      <c r="M25" s="2" t="b">
        <v>1</v>
      </c>
      <c r="N25" s="2" t="b">
        <v>1</v>
      </c>
      <c r="O25" s="2" t="s">
        <v>30</v>
      </c>
      <c r="P25" s="35"/>
      <c r="Q25" s="2" t="b">
        <v>0</v>
      </c>
      <c r="R25" s="4" t="b">
        <v>0</v>
      </c>
      <c r="S25" s="40" t="s">
        <v>92</v>
      </c>
      <c r="T25" s="38" t="s">
        <v>93</v>
      </c>
      <c r="U25" s="17" t="s">
        <v>95</v>
      </c>
    </row>
    <row r="26" spans="1:22" ht="60" x14ac:dyDescent="0.25">
      <c r="A26" s="71">
        <v>19</v>
      </c>
      <c r="B26" s="72">
        <v>45574</v>
      </c>
      <c r="C26" s="73" t="s">
        <v>77</v>
      </c>
      <c r="D26" s="74" t="s">
        <v>24</v>
      </c>
      <c r="E26" s="75" t="s">
        <v>25</v>
      </c>
      <c r="F26" s="31" t="s">
        <v>94</v>
      </c>
      <c r="G26" s="31">
        <v>64</v>
      </c>
      <c r="H26" s="31">
        <v>100</v>
      </c>
      <c r="I26" s="31" t="s">
        <v>28</v>
      </c>
      <c r="J26" s="31">
        <v>1E-3</v>
      </c>
      <c r="K26" s="31" t="s">
        <v>29</v>
      </c>
      <c r="L26" s="31">
        <v>0.1</v>
      </c>
      <c r="M26" s="31" t="b">
        <v>1</v>
      </c>
      <c r="N26" s="31" t="b">
        <v>1</v>
      </c>
      <c r="O26" s="31" t="s">
        <v>30</v>
      </c>
      <c r="P26" s="36"/>
      <c r="Q26" s="31" t="b">
        <v>0</v>
      </c>
      <c r="R26" s="73" t="b">
        <v>0</v>
      </c>
      <c r="S26" s="89" t="s">
        <v>96</v>
      </c>
      <c r="T26" s="76" t="s">
        <v>99</v>
      </c>
      <c r="U26" s="33"/>
    </row>
    <row r="27" spans="1:22" ht="60" x14ac:dyDescent="0.25">
      <c r="A27" s="64">
        <v>20</v>
      </c>
      <c r="B27" s="65">
        <v>45574</v>
      </c>
      <c r="C27" s="66" t="s">
        <v>77</v>
      </c>
      <c r="D27" s="67" t="s">
        <v>24</v>
      </c>
      <c r="E27" s="68" t="s">
        <v>25</v>
      </c>
      <c r="F27" s="3" t="s">
        <v>97</v>
      </c>
      <c r="G27" s="3">
        <v>64</v>
      </c>
      <c r="H27" s="3">
        <v>100</v>
      </c>
      <c r="I27" s="3" t="s">
        <v>28</v>
      </c>
      <c r="J27" s="3">
        <v>1E-3</v>
      </c>
      <c r="K27" s="3" t="s">
        <v>29</v>
      </c>
      <c r="L27" s="3">
        <v>0.1</v>
      </c>
      <c r="M27" s="3" t="b">
        <v>1</v>
      </c>
      <c r="N27" s="3" t="b">
        <v>1</v>
      </c>
      <c r="O27" s="3" t="s">
        <v>30</v>
      </c>
      <c r="P27" s="3"/>
      <c r="Q27" s="3" t="b">
        <v>0</v>
      </c>
      <c r="R27" s="66" t="b">
        <v>0</v>
      </c>
      <c r="S27" s="86" t="s">
        <v>100</v>
      </c>
      <c r="T27" s="70" t="s">
        <v>101</v>
      </c>
      <c r="U27" s="17"/>
      <c r="V27" s="63"/>
    </row>
    <row r="28" spans="1:22" ht="30" x14ac:dyDescent="0.25">
      <c r="A28" s="18">
        <v>21</v>
      </c>
      <c r="B28" s="19">
        <v>45574</v>
      </c>
      <c r="C28" s="4" t="s">
        <v>77</v>
      </c>
      <c r="D28" s="20" t="s">
        <v>24</v>
      </c>
      <c r="E28" s="1" t="s">
        <v>25</v>
      </c>
      <c r="F28" s="2" t="s">
        <v>97</v>
      </c>
      <c r="G28" s="3">
        <v>32</v>
      </c>
      <c r="H28" s="2">
        <v>100</v>
      </c>
      <c r="I28" s="2" t="s">
        <v>28</v>
      </c>
      <c r="J28" s="2">
        <v>1E-3</v>
      </c>
      <c r="K28" s="2" t="s">
        <v>29</v>
      </c>
      <c r="L28" s="2">
        <v>0.1</v>
      </c>
      <c r="M28" s="2" t="b">
        <v>1</v>
      </c>
      <c r="N28" s="2" t="b">
        <v>1</v>
      </c>
      <c r="O28" s="2" t="s">
        <v>30</v>
      </c>
      <c r="P28" s="35"/>
      <c r="Q28" s="2" t="b">
        <v>0</v>
      </c>
      <c r="R28" s="4" t="b">
        <v>0</v>
      </c>
      <c r="S28" s="23" t="s">
        <v>103</v>
      </c>
      <c r="T28" s="38" t="s">
        <v>102</v>
      </c>
      <c r="U28" s="17" t="s">
        <v>104</v>
      </c>
    </row>
    <row r="29" spans="1:22" ht="60" x14ac:dyDescent="0.25">
      <c r="A29" s="18">
        <v>22</v>
      </c>
      <c r="B29" s="19">
        <v>45574</v>
      </c>
      <c r="C29" s="4" t="s">
        <v>32</v>
      </c>
      <c r="D29" s="20" t="s">
        <v>24</v>
      </c>
      <c r="E29" s="1" t="s">
        <v>25</v>
      </c>
      <c r="F29" s="2" t="s">
        <v>97</v>
      </c>
      <c r="G29" s="3">
        <v>32</v>
      </c>
      <c r="H29" s="2">
        <v>100</v>
      </c>
      <c r="I29" s="2" t="s">
        <v>28</v>
      </c>
      <c r="J29" s="2">
        <v>1E-3</v>
      </c>
      <c r="K29" s="2" t="s">
        <v>29</v>
      </c>
      <c r="L29" s="2">
        <v>0.1</v>
      </c>
      <c r="M29" s="2" t="b">
        <v>1</v>
      </c>
      <c r="N29" s="2" t="b">
        <v>0</v>
      </c>
      <c r="O29" s="35"/>
      <c r="P29" s="35"/>
      <c r="Q29" s="2" t="b">
        <v>0</v>
      </c>
      <c r="R29" s="4" t="b">
        <v>0</v>
      </c>
      <c r="S29" s="40" t="s">
        <v>106</v>
      </c>
      <c r="T29" s="38" t="s">
        <v>107</v>
      </c>
      <c r="U29" s="17" t="s">
        <v>108</v>
      </c>
    </row>
    <row r="30" spans="1:22" ht="60" x14ac:dyDescent="0.25">
      <c r="A30" s="18">
        <v>23</v>
      </c>
      <c r="B30" s="19">
        <v>45574</v>
      </c>
      <c r="C30" s="4" t="s">
        <v>32</v>
      </c>
      <c r="D30" s="20" t="s">
        <v>24</v>
      </c>
      <c r="E30" s="1" t="s">
        <v>25</v>
      </c>
      <c r="F30" s="2" t="s">
        <v>97</v>
      </c>
      <c r="G30" s="3">
        <v>32</v>
      </c>
      <c r="H30" s="2">
        <v>100</v>
      </c>
      <c r="I30" s="2" t="s">
        <v>28</v>
      </c>
      <c r="J30" s="2">
        <v>1E-3</v>
      </c>
      <c r="K30" s="2" t="s">
        <v>29</v>
      </c>
      <c r="L30" s="2">
        <v>0.1</v>
      </c>
      <c r="M30" s="2" t="b">
        <v>1</v>
      </c>
      <c r="N30" s="2" t="b">
        <v>0</v>
      </c>
      <c r="O30" s="35"/>
      <c r="P30" s="35"/>
      <c r="Q30" s="2" t="b">
        <v>0</v>
      </c>
      <c r="R30" s="4" t="b">
        <v>0</v>
      </c>
      <c r="S30" s="40" t="s">
        <v>106</v>
      </c>
      <c r="T30" s="38" t="s">
        <v>107</v>
      </c>
      <c r="U30" s="17" t="s">
        <v>109</v>
      </c>
    </row>
    <row r="31" spans="1:22" ht="60" x14ac:dyDescent="0.25">
      <c r="A31" s="18">
        <v>24</v>
      </c>
      <c r="B31" s="19">
        <v>45574</v>
      </c>
      <c r="C31" s="4" t="s">
        <v>32</v>
      </c>
      <c r="D31" s="20" t="s">
        <v>24</v>
      </c>
      <c r="E31" s="1" t="s">
        <v>25</v>
      </c>
      <c r="F31" s="2" t="s">
        <v>34</v>
      </c>
      <c r="G31" s="3">
        <v>64</v>
      </c>
      <c r="H31" s="2">
        <v>100</v>
      </c>
      <c r="I31" s="2" t="s">
        <v>28</v>
      </c>
      <c r="J31" s="2">
        <v>1E-3</v>
      </c>
      <c r="K31" s="2" t="s">
        <v>29</v>
      </c>
      <c r="L31" s="2">
        <v>0.1</v>
      </c>
      <c r="M31" s="2" t="b">
        <v>1</v>
      </c>
      <c r="N31" s="2" t="b">
        <v>0</v>
      </c>
      <c r="O31" s="35"/>
      <c r="P31" s="35"/>
      <c r="Q31" s="2" t="b">
        <v>0</v>
      </c>
      <c r="R31" s="4" t="b">
        <v>0</v>
      </c>
      <c r="S31" s="40" t="s">
        <v>110</v>
      </c>
      <c r="T31" s="38" t="s">
        <v>111</v>
      </c>
      <c r="U31" s="17" t="s">
        <v>112</v>
      </c>
      <c r="V31" s="90"/>
    </row>
    <row r="32" spans="1:22" ht="60" x14ac:dyDescent="0.25">
      <c r="A32" s="18">
        <v>25</v>
      </c>
      <c r="B32" s="19">
        <v>45574</v>
      </c>
      <c r="C32" s="4" t="s">
        <v>32</v>
      </c>
      <c r="D32" s="20" t="s">
        <v>24</v>
      </c>
      <c r="E32" s="1" t="s">
        <v>25</v>
      </c>
      <c r="F32" s="2" t="s">
        <v>115</v>
      </c>
      <c r="G32" s="3">
        <v>32</v>
      </c>
      <c r="H32" s="2">
        <v>100</v>
      </c>
      <c r="I32" s="2" t="s">
        <v>28</v>
      </c>
      <c r="J32" s="2">
        <v>1E-3</v>
      </c>
      <c r="K32" s="2" t="s">
        <v>29</v>
      </c>
      <c r="L32" s="2">
        <v>0.1</v>
      </c>
      <c r="M32" s="2" t="b">
        <v>1</v>
      </c>
      <c r="N32" s="2" t="b">
        <v>1</v>
      </c>
      <c r="O32" s="3" t="s">
        <v>30</v>
      </c>
      <c r="P32" s="35"/>
      <c r="Q32" s="2" t="b">
        <v>0</v>
      </c>
      <c r="R32" s="4" t="b">
        <v>0</v>
      </c>
      <c r="S32" s="23" t="s">
        <v>113</v>
      </c>
      <c r="T32" s="38" t="s">
        <v>114</v>
      </c>
      <c r="U32" s="17" t="s">
        <v>116</v>
      </c>
    </row>
    <row r="33" spans="1:22" ht="30" x14ac:dyDescent="0.25">
      <c r="A33" s="18">
        <v>26</v>
      </c>
      <c r="B33" s="19">
        <v>45574</v>
      </c>
      <c r="C33" s="4" t="s">
        <v>32</v>
      </c>
      <c r="D33" s="20" t="s">
        <v>24</v>
      </c>
      <c r="E33" s="1" t="s">
        <v>25</v>
      </c>
      <c r="F33" s="2" t="s">
        <v>34</v>
      </c>
      <c r="G33" s="3">
        <v>64</v>
      </c>
      <c r="H33" s="2">
        <v>100</v>
      </c>
      <c r="I33" s="2" t="s">
        <v>28</v>
      </c>
      <c r="J33" s="2">
        <v>1E-3</v>
      </c>
      <c r="K33" s="2" t="s">
        <v>29</v>
      </c>
      <c r="L33" s="2">
        <v>0.1</v>
      </c>
      <c r="M33" s="2" t="b">
        <v>1</v>
      </c>
      <c r="N33" s="2" t="b">
        <v>0</v>
      </c>
      <c r="O33" s="35"/>
      <c r="P33" s="35"/>
      <c r="Q33" s="2" t="b">
        <v>0</v>
      </c>
      <c r="R33" s="4" t="b">
        <v>0</v>
      </c>
      <c r="S33" s="23" t="s">
        <v>117</v>
      </c>
      <c r="T33" s="38" t="s">
        <v>118</v>
      </c>
      <c r="U33" s="17" t="s">
        <v>119</v>
      </c>
    </row>
    <row r="34" spans="1:22" ht="60" x14ac:dyDescent="0.25">
      <c r="A34" s="18">
        <v>27</v>
      </c>
      <c r="B34" s="19">
        <v>45574</v>
      </c>
      <c r="C34" s="4" t="s">
        <v>32</v>
      </c>
      <c r="D34" s="20" t="s">
        <v>24</v>
      </c>
      <c r="E34" s="1" t="s">
        <v>25</v>
      </c>
      <c r="F34" s="2" t="s">
        <v>34</v>
      </c>
      <c r="G34" s="3">
        <v>64</v>
      </c>
      <c r="H34" s="2">
        <v>100</v>
      </c>
      <c r="I34" s="2" t="s">
        <v>28</v>
      </c>
      <c r="J34" s="2">
        <v>1E-3</v>
      </c>
      <c r="K34" s="2" t="s">
        <v>29</v>
      </c>
      <c r="L34" s="2">
        <v>0.1</v>
      </c>
      <c r="M34" s="2" t="b">
        <v>1</v>
      </c>
      <c r="N34" s="2" t="b">
        <v>0</v>
      </c>
      <c r="O34" s="35"/>
      <c r="P34" s="35"/>
      <c r="Q34" s="2" t="b">
        <v>0</v>
      </c>
      <c r="R34" s="4" t="b">
        <v>0</v>
      </c>
      <c r="S34" s="40" t="s">
        <v>121</v>
      </c>
      <c r="T34" s="38" t="s">
        <v>120</v>
      </c>
      <c r="U34" s="17" t="s">
        <v>122</v>
      </c>
    </row>
    <row r="35" spans="1:22" ht="75" x14ac:dyDescent="0.25">
      <c r="A35" s="77">
        <v>28</v>
      </c>
      <c r="B35" s="78">
        <v>45574</v>
      </c>
      <c r="C35" s="79" t="s">
        <v>32</v>
      </c>
      <c r="D35" s="80" t="s">
        <v>24</v>
      </c>
      <c r="E35" s="81" t="s">
        <v>25</v>
      </c>
      <c r="F35" s="82" t="s">
        <v>34</v>
      </c>
      <c r="G35" s="82">
        <v>64</v>
      </c>
      <c r="H35" s="82">
        <v>100</v>
      </c>
      <c r="I35" s="82" t="s">
        <v>28</v>
      </c>
      <c r="J35" s="82">
        <v>1E-3</v>
      </c>
      <c r="K35" s="82" t="s">
        <v>29</v>
      </c>
      <c r="L35" s="82">
        <v>0.1</v>
      </c>
      <c r="M35" s="82" t="b">
        <v>1</v>
      </c>
      <c r="N35" s="82" t="b">
        <v>0</v>
      </c>
      <c r="O35" s="82"/>
      <c r="P35" s="82" t="b">
        <v>1</v>
      </c>
      <c r="Q35" s="82" t="b">
        <v>0</v>
      </c>
      <c r="R35" s="79" t="b">
        <v>0</v>
      </c>
      <c r="S35" s="83" t="s">
        <v>123</v>
      </c>
      <c r="T35" s="84" t="s">
        <v>120</v>
      </c>
      <c r="U35" s="85" t="s">
        <v>124</v>
      </c>
    </row>
    <row r="36" spans="1:22" ht="60" x14ac:dyDescent="0.25">
      <c r="A36" s="18">
        <v>29</v>
      </c>
      <c r="B36" s="65">
        <v>45574</v>
      </c>
      <c r="C36" s="66" t="s">
        <v>32</v>
      </c>
      <c r="D36" s="67" t="s">
        <v>24</v>
      </c>
      <c r="E36" s="68" t="s">
        <v>25</v>
      </c>
      <c r="F36" s="3" t="s">
        <v>34</v>
      </c>
      <c r="G36" s="3">
        <v>64</v>
      </c>
      <c r="H36" s="3">
        <v>100</v>
      </c>
      <c r="I36" s="3" t="s">
        <v>28</v>
      </c>
      <c r="J36" s="3">
        <v>1E-3</v>
      </c>
      <c r="K36" s="3" t="s">
        <v>29</v>
      </c>
      <c r="L36" s="3">
        <v>0.1</v>
      </c>
      <c r="M36" s="3" t="b">
        <v>1</v>
      </c>
      <c r="N36" s="3" t="b">
        <v>0</v>
      </c>
      <c r="O36" s="35"/>
      <c r="P36" s="3" t="b">
        <v>1</v>
      </c>
      <c r="Q36" s="3" t="b">
        <v>0</v>
      </c>
      <c r="R36" s="66" t="b">
        <v>0</v>
      </c>
      <c r="S36" s="86" t="s">
        <v>127</v>
      </c>
      <c r="T36" s="70" t="s">
        <v>126</v>
      </c>
      <c r="U36" s="17" t="s">
        <v>125</v>
      </c>
    </row>
    <row r="37" spans="1:22" ht="30" x14ac:dyDescent="0.25">
      <c r="A37" s="18">
        <v>30</v>
      </c>
      <c r="B37" s="65">
        <v>45574</v>
      </c>
      <c r="C37" s="66" t="s">
        <v>32</v>
      </c>
      <c r="D37" s="67" t="s">
        <v>24</v>
      </c>
      <c r="E37" s="68" t="s">
        <v>25</v>
      </c>
      <c r="F37" s="3" t="s">
        <v>34</v>
      </c>
      <c r="G37" s="3">
        <v>64</v>
      </c>
      <c r="H37" s="3">
        <v>100</v>
      </c>
      <c r="I37" s="3" t="s">
        <v>28</v>
      </c>
      <c r="J37" s="3">
        <v>1E-3</v>
      </c>
      <c r="K37" s="3" t="s">
        <v>29</v>
      </c>
      <c r="L37" s="3">
        <v>0.1</v>
      </c>
      <c r="M37" s="3" t="b">
        <v>1</v>
      </c>
      <c r="N37" s="3" t="b">
        <v>0</v>
      </c>
      <c r="O37" s="35"/>
      <c r="P37" s="3" t="b">
        <v>1</v>
      </c>
      <c r="Q37" s="3" t="b">
        <v>0</v>
      </c>
      <c r="R37" s="66" t="b">
        <v>0</v>
      </c>
      <c r="S37" s="87" t="s">
        <v>129</v>
      </c>
      <c r="T37" s="70" t="s">
        <v>128</v>
      </c>
      <c r="U37" s="17" t="s">
        <v>130</v>
      </c>
    </row>
    <row r="38" spans="1:22" ht="90" x14ac:dyDescent="0.25">
      <c r="A38" s="18">
        <v>31</v>
      </c>
      <c r="B38" s="65">
        <v>45574</v>
      </c>
      <c r="C38" s="66" t="s">
        <v>32</v>
      </c>
      <c r="D38" s="67" t="s">
        <v>24</v>
      </c>
      <c r="E38" s="68" t="s">
        <v>25</v>
      </c>
      <c r="F38" s="3" t="s">
        <v>98</v>
      </c>
      <c r="G38" s="3">
        <v>64</v>
      </c>
      <c r="H38" s="3">
        <v>100</v>
      </c>
      <c r="I38" s="3" t="s">
        <v>28</v>
      </c>
      <c r="J38" s="3">
        <v>1E-3</v>
      </c>
      <c r="K38" s="3" t="s">
        <v>29</v>
      </c>
      <c r="L38" s="3">
        <v>0.1</v>
      </c>
      <c r="M38" s="3" t="b">
        <v>1</v>
      </c>
      <c r="N38" s="3" t="b">
        <v>1</v>
      </c>
      <c r="O38" s="3" t="s">
        <v>30</v>
      </c>
      <c r="P38" s="3" t="b">
        <v>0</v>
      </c>
      <c r="Q38" s="3" t="b">
        <v>0</v>
      </c>
      <c r="R38" s="66" t="b">
        <v>0</v>
      </c>
      <c r="S38" s="40" t="s">
        <v>133</v>
      </c>
      <c r="T38" s="70" t="s">
        <v>131</v>
      </c>
      <c r="U38" s="17" t="s">
        <v>134</v>
      </c>
    </row>
    <row r="39" spans="1:22" ht="75" x14ac:dyDescent="0.2">
      <c r="A39" s="25">
        <v>32</v>
      </c>
      <c r="B39" s="26">
        <v>45575</v>
      </c>
      <c r="C39" s="27" t="s">
        <v>77</v>
      </c>
      <c r="D39" s="74" t="s">
        <v>24</v>
      </c>
      <c r="E39" s="75" t="s">
        <v>25</v>
      </c>
      <c r="F39" s="34" t="s">
        <v>97</v>
      </c>
      <c r="G39" s="31">
        <v>64</v>
      </c>
      <c r="H39" s="31">
        <v>100</v>
      </c>
      <c r="I39" s="31" t="s">
        <v>28</v>
      </c>
      <c r="J39" s="31">
        <v>1E-3</v>
      </c>
      <c r="K39" s="31" t="s">
        <v>29</v>
      </c>
      <c r="L39" s="31">
        <v>0.1</v>
      </c>
      <c r="M39" s="31" t="b">
        <v>1</v>
      </c>
      <c r="N39" s="31" t="b">
        <v>1</v>
      </c>
      <c r="O39" s="31" t="s">
        <v>30</v>
      </c>
      <c r="P39" s="31" t="b">
        <v>1</v>
      </c>
      <c r="Q39" s="31" t="b">
        <v>0</v>
      </c>
      <c r="R39" s="73" t="b">
        <v>0</v>
      </c>
      <c r="S39" s="92" t="s">
        <v>135</v>
      </c>
      <c r="T39" s="88" t="s">
        <v>138</v>
      </c>
      <c r="U39" s="33" t="s">
        <v>136</v>
      </c>
    </row>
    <row r="40" spans="1:22" s="90" customFormat="1" ht="75" x14ac:dyDescent="0.2">
      <c r="A40" s="64">
        <v>20</v>
      </c>
      <c r="B40" s="65">
        <v>45574</v>
      </c>
      <c r="C40" s="66" t="s">
        <v>77</v>
      </c>
      <c r="D40" s="67" t="s">
        <v>24</v>
      </c>
      <c r="E40" s="68" t="s">
        <v>25</v>
      </c>
      <c r="F40" s="3" t="s">
        <v>97</v>
      </c>
      <c r="G40" s="3">
        <v>64</v>
      </c>
      <c r="H40" s="3">
        <v>100</v>
      </c>
      <c r="I40" s="3" t="s">
        <v>28</v>
      </c>
      <c r="J40" s="3">
        <v>1E-3</v>
      </c>
      <c r="K40" s="3" t="s">
        <v>29</v>
      </c>
      <c r="L40" s="3">
        <v>0.1</v>
      </c>
      <c r="M40" s="3" t="b">
        <v>1</v>
      </c>
      <c r="N40" s="3" t="b">
        <v>1</v>
      </c>
      <c r="O40" s="3" t="s">
        <v>137</v>
      </c>
      <c r="P40" s="3" t="b">
        <v>0</v>
      </c>
      <c r="Q40" s="3" t="b">
        <v>0</v>
      </c>
      <c r="R40" s="66" t="b">
        <v>0</v>
      </c>
      <c r="S40" s="93" t="s">
        <v>139</v>
      </c>
      <c r="T40" s="70" t="s">
        <v>143</v>
      </c>
      <c r="U40" s="17" t="s">
        <v>141</v>
      </c>
    </row>
    <row r="41" spans="1:22" ht="60" x14ac:dyDescent="0.2">
      <c r="A41" s="64">
        <v>33</v>
      </c>
      <c r="B41" s="65">
        <v>45575</v>
      </c>
      <c r="C41" s="66" t="s">
        <v>77</v>
      </c>
      <c r="D41" s="67" t="s">
        <v>24</v>
      </c>
      <c r="E41" s="68" t="s">
        <v>25</v>
      </c>
      <c r="F41" s="3" t="s">
        <v>140</v>
      </c>
      <c r="G41" s="3">
        <v>64</v>
      </c>
      <c r="H41" s="3">
        <v>100</v>
      </c>
      <c r="I41" s="3" t="s">
        <v>28</v>
      </c>
      <c r="J41" s="3">
        <v>1E-3</v>
      </c>
      <c r="K41" s="3" t="s">
        <v>29</v>
      </c>
      <c r="L41" s="3">
        <v>0.1</v>
      </c>
      <c r="M41" s="3" t="b">
        <v>1</v>
      </c>
      <c r="N41" s="3" t="b">
        <v>1</v>
      </c>
      <c r="O41" s="3" t="s">
        <v>30</v>
      </c>
      <c r="P41" s="3" t="b">
        <v>0</v>
      </c>
      <c r="Q41" s="3" t="b">
        <v>0</v>
      </c>
      <c r="R41" s="66" t="b">
        <v>0</v>
      </c>
      <c r="S41" s="94" t="s">
        <v>144</v>
      </c>
      <c r="T41" s="70" t="s">
        <v>145</v>
      </c>
      <c r="U41" s="17" t="s">
        <v>142</v>
      </c>
      <c r="V41" s="63"/>
    </row>
    <row r="42" spans="1:22" ht="105" x14ac:dyDescent="0.2">
      <c r="A42" s="18">
        <v>34</v>
      </c>
      <c r="B42" s="65">
        <v>45575</v>
      </c>
      <c r="C42" s="66" t="s">
        <v>77</v>
      </c>
      <c r="D42" s="67" t="s">
        <v>24</v>
      </c>
      <c r="E42" s="68" t="s">
        <v>25</v>
      </c>
      <c r="F42" s="3" t="s">
        <v>34</v>
      </c>
      <c r="G42" s="3">
        <v>64</v>
      </c>
      <c r="H42" s="3">
        <v>100</v>
      </c>
      <c r="I42" s="3" t="s">
        <v>28</v>
      </c>
      <c r="J42" s="3">
        <v>1E-3</v>
      </c>
      <c r="K42" s="3" t="s">
        <v>29</v>
      </c>
      <c r="L42" s="3">
        <v>0.1</v>
      </c>
      <c r="M42" s="3" t="b">
        <v>1</v>
      </c>
      <c r="N42" s="3" t="b">
        <v>0</v>
      </c>
      <c r="O42" s="3" t="s">
        <v>149</v>
      </c>
      <c r="P42" s="3" t="b">
        <v>0</v>
      </c>
      <c r="Q42" s="3" t="b">
        <v>0</v>
      </c>
      <c r="R42" s="66" t="b">
        <v>0</v>
      </c>
      <c r="S42" s="24" t="s">
        <v>146</v>
      </c>
      <c r="T42" s="70" t="s">
        <v>147</v>
      </c>
      <c r="U42" s="17" t="s">
        <v>148</v>
      </c>
    </row>
    <row r="43" spans="1:22" ht="120" x14ac:dyDescent="0.2">
      <c r="A43" s="64">
        <v>35</v>
      </c>
      <c r="B43" s="65">
        <v>45575</v>
      </c>
      <c r="C43" s="66" t="s">
        <v>77</v>
      </c>
      <c r="D43" s="67" t="s">
        <v>24</v>
      </c>
      <c r="E43" s="68" t="s">
        <v>25</v>
      </c>
      <c r="F43" s="3" t="s">
        <v>150</v>
      </c>
      <c r="G43" s="3">
        <v>128</v>
      </c>
      <c r="H43" s="3">
        <v>100</v>
      </c>
      <c r="I43" s="3" t="s">
        <v>28</v>
      </c>
      <c r="J43" s="3">
        <v>1E-3</v>
      </c>
      <c r="K43" s="3" t="s">
        <v>29</v>
      </c>
      <c r="L43" s="3">
        <v>0.1</v>
      </c>
      <c r="M43" s="3" t="b">
        <v>1</v>
      </c>
      <c r="N43" s="3" t="b">
        <v>1</v>
      </c>
      <c r="O43" s="3" t="s">
        <v>30</v>
      </c>
      <c r="P43" s="3" t="b">
        <v>0</v>
      </c>
      <c r="Q43" s="3" t="b">
        <v>0</v>
      </c>
      <c r="R43" s="66" t="b">
        <v>0</v>
      </c>
      <c r="S43" s="69" t="s">
        <v>152</v>
      </c>
      <c r="T43" s="70" t="s">
        <v>151</v>
      </c>
      <c r="U43" s="17" t="s">
        <v>153</v>
      </c>
    </row>
    <row r="44" spans="1:22" ht="30" x14ac:dyDescent="0.2">
      <c r="A44" s="18">
        <v>36</v>
      </c>
      <c r="B44" s="65">
        <v>45575</v>
      </c>
      <c r="C44" s="66" t="s">
        <v>77</v>
      </c>
      <c r="D44" s="67" t="s">
        <v>24</v>
      </c>
      <c r="E44" s="68" t="s">
        <v>25</v>
      </c>
      <c r="F44" s="3" t="s">
        <v>140</v>
      </c>
      <c r="G44" s="3">
        <v>64</v>
      </c>
      <c r="H44" s="3">
        <v>100</v>
      </c>
      <c r="I44" s="3" t="s">
        <v>28</v>
      </c>
      <c r="J44" s="3">
        <v>0.1</v>
      </c>
      <c r="K44" s="3" t="s">
        <v>29</v>
      </c>
      <c r="L44" s="3">
        <v>0.1</v>
      </c>
      <c r="M44" s="3" t="b">
        <v>1</v>
      </c>
      <c r="N44" s="3" t="b">
        <v>1</v>
      </c>
      <c r="O44" s="3" t="s">
        <v>30</v>
      </c>
      <c r="P44" s="3" t="b">
        <v>0</v>
      </c>
      <c r="Q44" s="3" t="b">
        <v>0</v>
      </c>
      <c r="R44" s="66" t="b">
        <v>0</v>
      </c>
      <c r="S44" s="24" t="s">
        <v>154</v>
      </c>
      <c r="T44" s="20" t="s">
        <v>156</v>
      </c>
      <c r="U44" s="17" t="s">
        <v>155</v>
      </c>
    </row>
    <row r="45" spans="1:22" ht="45" customHeight="1" x14ac:dyDescent="0.25">
      <c r="A45" s="18">
        <v>37</v>
      </c>
      <c r="B45" s="65">
        <v>45575</v>
      </c>
      <c r="C45" s="66" t="s">
        <v>77</v>
      </c>
      <c r="D45" s="67" t="s">
        <v>24</v>
      </c>
      <c r="E45" s="68" t="s">
        <v>25</v>
      </c>
      <c r="F45" s="3" t="s">
        <v>140</v>
      </c>
      <c r="G45" s="3">
        <v>64</v>
      </c>
      <c r="H45" s="3">
        <v>100</v>
      </c>
      <c r="I45" s="3" t="s">
        <v>158</v>
      </c>
      <c r="J45" s="3">
        <v>1E-3</v>
      </c>
      <c r="K45" s="3" t="s">
        <v>29</v>
      </c>
      <c r="L45" s="3">
        <v>0.1</v>
      </c>
      <c r="M45" s="3" t="b">
        <v>1</v>
      </c>
      <c r="N45" s="3" t="b">
        <v>1</v>
      </c>
      <c r="O45" s="3" t="s">
        <v>30</v>
      </c>
      <c r="P45" s="3" t="b">
        <v>0</v>
      </c>
      <c r="Q45" s="3" t="b">
        <v>0</v>
      </c>
      <c r="R45" s="66" t="b">
        <v>0</v>
      </c>
      <c r="S45" s="23" t="s">
        <v>157</v>
      </c>
      <c r="T45" s="20" t="s">
        <v>159</v>
      </c>
      <c r="U45" s="17" t="s">
        <v>161</v>
      </c>
    </row>
    <row r="46" spans="1:22" ht="15" x14ac:dyDescent="0.25">
      <c r="A46" s="18">
        <v>38</v>
      </c>
      <c r="B46" s="65">
        <v>45575</v>
      </c>
      <c r="C46" s="66" t="s">
        <v>77</v>
      </c>
      <c r="D46" s="67" t="s">
        <v>24</v>
      </c>
      <c r="E46" s="68" t="s">
        <v>25</v>
      </c>
      <c r="F46" s="3" t="s">
        <v>160</v>
      </c>
      <c r="G46" s="3">
        <v>64</v>
      </c>
      <c r="H46" s="3">
        <v>100</v>
      </c>
      <c r="I46" s="3" t="s">
        <v>28</v>
      </c>
      <c r="J46" s="3">
        <v>1E-3</v>
      </c>
      <c r="K46" s="3" t="s">
        <v>29</v>
      </c>
      <c r="L46" s="3">
        <v>0.1</v>
      </c>
      <c r="M46" s="3" t="b">
        <v>1</v>
      </c>
      <c r="N46" s="3" t="b">
        <v>1</v>
      </c>
      <c r="O46" s="3" t="s">
        <v>30</v>
      </c>
      <c r="P46" s="3" t="b">
        <v>0</v>
      </c>
      <c r="Q46" s="3" t="b">
        <v>0</v>
      </c>
      <c r="R46" s="66" t="b">
        <v>0</v>
      </c>
      <c r="S46" s="23" t="s">
        <v>163</v>
      </c>
      <c r="T46" s="20" t="s">
        <v>164</v>
      </c>
      <c r="U46" s="7" t="s">
        <v>162</v>
      </c>
    </row>
    <row r="47" spans="1:22" ht="60" x14ac:dyDescent="0.25">
      <c r="A47" s="25">
        <v>39</v>
      </c>
      <c r="B47" s="72">
        <v>45576</v>
      </c>
      <c r="C47" s="73" t="s">
        <v>77</v>
      </c>
      <c r="D47" s="74" t="s">
        <v>24</v>
      </c>
      <c r="E47" s="75" t="s">
        <v>25</v>
      </c>
      <c r="F47" s="31" t="s">
        <v>165</v>
      </c>
      <c r="G47" s="31">
        <v>64</v>
      </c>
      <c r="H47" s="31">
        <v>100</v>
      </c>
      <c r="I47" s="31" t="s">
        <v>28</v>
      </c>
      <c r="J47" s="31">
        <v>1E-3</v>
      </c>
      <c r="K47" s="31" t="s">
        <v>29</v>
      </c>
      <c r="L47" s="31">
        <v>0.1</v>
      </c>
      <c r="M47" s="31" t="b">
        <v>1</v>
      </c>
      <c r="N47" s="31" t="b">
        <v>1</v>
      </c>
      <c r="O47" s="31" t="s">
        <v>167</v>
      </c>
      <c r="P47" s="31" t="b">
        <v>0</v>
      </c>
      <c r="Q47" s="31" t="b">
        <v>0</v>
      </c>
      <c r="R47" s="73" t="b">
        <v>0</v>
      </c>
      <c r="S47" s="40" t="s">
        <v>171</v>
      </c>
      <c r="T47" s="28" t="s">
        <v>166</v>
      </c>
      <c r="U47" s="96" t="s">
        <v>168</v>
      </c>
    </row>
    <row r="48" spans="1:22" ht="120" x14ac:dyDescent="0.2">
      <c r="A48" s="64">
        <v>40</v>
      </c>
      <c r="B48" s="65">
        <v>45576</v>
      </c>
      <c r="C48" s="66" t="s">
        <v>77</v>
      </c>
      <c r="D48" s="67" t="s">
        <v>24</v>
      </c>
      <c r="E48" s="68" t="s">
        <v>25</v>
      </c>
      <c r="F48" s="3" t="s">
        <v>169</v>
      </c>
      <c r="G48" s="3">
        <v>64</v>
      </c>
      <c r="H48" s="3">
        <v>200</v>
      </c>
      <c r="I48" s="3" t="s">
        <v>28</v>
      </c>
      <c r="J48" s="3">
        <v>1E-3</v>
      </c>
      <c r="K48" s="3" t="s">
        <v>29</v>
      </c>
      <c r="L48" s="3">
        <v>0.1</v>
      </c>
      <c r="M48" s="3" t="b">
        <v>1</v>
      </c>
      <c r="N48" s="3" t="b">
        <v>1</v>
      </c>
      <c r="O48" s="3" t="s">
        <v>30</v>
      </c>
      <c r="P48" s="3" t="s">
        <v>170</v>
      </c>
      <c r="Q48" s="3" t="b">
        <v>0</v>
      </c>
      <c r="R48" s="66" t="b">
        <v>0</v>
      </c>
      <c r="S48" s="69" t="s">
        <v>173</v>
      </c>
      <c r="T48" s="67" t="s">
        <v>172</v>
      </c>
      <c r="U48" s="17" t="s">
        <v>174</v>
      </c>
      <c r="V48" s="63"/>
    </row>
    <row r="49" spans="1:21" ht="105" x14ac:dyDescent="0.25">
      <c r="A49" s="18">
        <v>41</v>
      </c>
      <c r="B49" s="65">
        <v>45576</v>
      </c>
      <c r="C49" s="66" t="s">
        <v>77</v>
      </c>
      <c r="D49" s="67" t="s">
        <v>24</v>
      </c>
      <c r="E49" s="68" t="s">
        <v>25</v>
      </c>
      <c r="F49" s="3" t="s">
        <v>169</v>
      </c>
      <c r="G49" s="3">
        <v>128</v>
      </c>
      <c r="H49" s="3">
        <v>200</v>
      </c>
      <c r="I49" s="3" t="s">
        <v>28</v>
      </c>
      <c r="J49" s="3">
        <v>1E-3</v>
      </c>
      <c r="K49" s="3" t="s">
        <v>29</v>
      </c>
      <c r="L49" s="3">
        <v>0.1</v>
      </c>
      <c r="M49" s="3" t="b">
        <v>1</v>
      </c>
      <c r="N49" s="3" t="b">
        <v>0</v>
      </c>
      <c r="O49" s="3" t="s">
        <v>149</v>
      </c>
      <c r="P49" s="3" t="b">
        <v>0</v>
      </c>
      <c r="Q49" s="3" t="b">
        <v>0</v>
      </c>
      <c r="R49" s="66" t="b">
        <v>0</v>
      </c>
      <c r="S49" s="40" t="s">
        <v>176</v>
      </c>
      <c r="T49" s="20" t="s">
        <v>175</v>
      </c>
      <c r="U49" s="17" t="s">
        <v>178</v>
      </c>
    </row>
    <row r="50" spans="1:21" ht="77.25" x14ac:dyDescent="0.25">
      <c r="A50" s="18">
        <v>42</v>
      </c>
      <c r="B50" s="65">
        <v>45576</v>
      </c>
      <c r="C50" s="66" t="s">
        <v>77</v>
      </c>
      <c r="D50" s="67" t="s">
        <v>24</v>
      </c>
      <c r="E50" s="68" t="s">
        <v>25</v>
      </c>
      <c r="F50" s="3" t="s">
        <v>169</v>
      </c>
      <c r="G50" s="3">
        <v>128</v>
      </c>
      <c r="H50" s="3">
        <v>1000</v>
      </c>
      <c r="I50" s="3" t="s">
        <v>28</v>
      </c>
      <c r="J50" s="3">
        <v>1E-3</v>
      </c>
      <c r="K50" s="3" t="s">
        <v>29</v>
      </c>
      <c r="L50" s="3">
        <v>0.1</v>
      </c>
      <c r="M50" s="3" t="b">
        <v>1</v>
      </c>
      <c r="N50" s="3" t="b">
        <v>1</v>
      </c>
      <c r="O50" s="3" t="s">
        <v>30</v>
      </c>
      <c r="P50" s="3" t="s">
        <v>170</v>
      </c>
      <c r="Q50" s="3" t="b">
        <v>0</v>
      </c>
      <c r="R50" s="66" t="b">
        <v>0</v>
      </c>
      <c r="S50" s="40" t="s">
        <v>180</v>
      </c>
      <c r="T50" s="20" t="s">
        <v>177</v>
      </c>
      <c r="U50" s="97" t="s">
        <v>179</v>
      </c>
    </row>
    <row r="51" spans="1:21" ht="210" x14ac:dyDescent="0.2">
      <c r="A51" s="98">
        <v>43</v>
      </c>
      <c r="B51" s="99">
        <v>45577</v>
      </c>
      <c r="C51" s="100" t="s">
        <v>77</v>
      </c>
      <c r="D51" s="101" t="s">
        <v>24</v>
      </c>
      <c r="E51" s="102" t="s">
        <v>25</v>
      </c>
      <c r="F51" s="103" t="s">
        <v>169</v>
      </c>
      <c r="G51" s="103">
        <v>512</v>
      </c>
      <c r="H51" s="103">
        <v>1000</v>
      </c>
      <c r="I51" s="103" t="s">
        <v>28</v>
      </c>
      <c r="J51" s="103">
        <v>1E-3</v>
      </c>
      <c r="K51" s="103" t="s">
        <v>29</v>
      </c>
      <c r="L51" s="103">
        <v>0.1</v>
      </c>
      <c r="M51" s="103" t="b">
        <v>1</v>
      </c>
      <c r="N51" s="103" t="b">
        <v>1</v>
      </c>
      <c r="O51" s="103" t="s">
        <v>30</v>
      </c>
      <c r="P51" s="103" t="s">
        <v>170</v>
      </c>
      <c r="Q51" s="103" t="b">
        <v>0</v>
      </c>
      <c r="R51" s="103" t="b">
        <v>0</v>
      </c>
      <c r="S51" s="104" t="s">
        <v>183</v>
      </c>
      <c r="T51" s="105" t="s">
        <v>181</v>
      </c>
      <c r="U51" s="106" t="s">
        <v>184</v>
      </c>
    </row>
    <row r="52" spans="1:21" ht="63" x14ac:dyDescent="0.2">
      <c r="A52" s="77">
        <v>44</v>
      </c>
      <c r="B52" s="78">
        <v>45579</v>
      </c>
      <c r="C52" s="79" t="s">
        <v>77</v>
      </c>
      <c r="D52" s="80" t="s">
        <v>24</v>
      </c>
      <c r="E52" s="81" t="s">
        <v>25</v>
      </c>
      <c r="F52" s="82" t="s">
        <v>182</v>
      </c>
      <c r="G52" s="82">
        <v>512</v>
      </c>
      <c r="H52" s="82">
        <v>300</v>
      </c>
      <c r="I52" s="82" t="s">
        <v>28</v>
      </c>
      <c r="J52" s="82">
        <v>1E-3</v>
      </c>
      <c r="K52" s="82" t="s">
        <v>29</v>
      </c>
      <c r="L52" s="82">
        <v>0.1</v>
      </c>
      <c r="M52" s="82" t="b">
        <v>1</v>
      </c>
      <c r="N52" s="82" t="b">
        <v>1</v>
      </c>
      <c r="O52" s="57" t="s">
        <v>167</v>
      </c>
      <c r="P52" s="82" t="s">
        <v>170</v>
      </c>
      <c r="Q52" s="82" t="b">
        <v>0</v>
      </c>
      <c r="R52" s="79" t="b">
        <v>0</v>
      </c>
      <c r="S52" s="123" t="s">
        <v>186</v>
      </c>
      <c r="T52" s="124" t="s">
        <v>205</v>
      </c>
      <c r="U52" s="125" t="s">
        <v>204</v>
      </c>
    </row>
    <row r="53" spans="1:21" ht="60" x14ac:dyDescent="0.25">
      <c r="A53" s="41">
        <v>45</v>
      </c>
      <c r="B53" s="107">
        <v>45579</v>
      </c>
      <c r="C53" s="108" t="s">
        <v>77</v>
      </c>
      <c r="D53" s="109" t="s">
        <v>24</v>
      </c>
      <c r="E53" s="110" t="s">
        <v>25</v>
      </c>
      <c r="F53" s="47" t="s">
        <v>165</v>
      </c>
      <c r="G53" s="47">
        <v>128</v>
      </c>
      <c r="H53" s="47">
        <v>100</v>
      </c>
      <c r="I53" s="47" t="s">
        <v>28</v>
      </c>
      <c r="J53" s="47">
        <v>1E-3</v>
      </c>
      <c r="K53" s="47" t="s">
        <v>29</v>
      </c>
      <c r="L53" s="47">
        <v>0.1</v>
      </c>
      <c r="M53" s="47" t="b">
        <v>1</v>
      </c>
      <c r="N53" s="47" t="b">
        <v>1</v>
      </c>
      <c r="O53" s="47" t="s">
        <v>30</v>
      </c>
      <c r="P53" s="47" t="b">
        <v>0</v>
      </c>
      <c r="Q53" s="47" t="b">
        <v>0</v>
      </c>
      <c r="R53" s="108" t="b">
        <v>0</v>
      </c>
      <c r="S53" s="113" t="s">
        <v>188</v>
      </c>
      <c r="T53" s="111" t="s">
        <v>187</v>
      </c>
      <c r="U53" s="112" t="s">
        <v>189</v>
      </c>
    </row>
    <row r="54" spans="1:21" ht="60" x14ac:dyDescent="0.25">
      <c r="A54" s="18">
        <v>46</v>
      </c>
      <c r="B54" s="65">
        <v>45581</v>
      </c>
      <c r="C54" s="66" t="s">
        <v>77</v>
      </c>
      <c r="D54" s="67" t="s">
        <v>24</v>
      </c>
      <c r="E54" s="68" t="s">
        <v>25</v>
      </c>
      <c r="F54" s="3" t="s">
        <v>182</v>
      </c>
      <c r="G54" s="3">
        <v>512</v>
      </c>
      <c r="H54" s="3">
        <v>300</v>
      </c>
      <c r="I54" s="3" t="s">
        <v>28</v>
      </c>
      <c r="J54" s="3">
        <v>1E-3</v>
      </c>
      <c r="K54" s="3" t="s">
        <v>29</v>
      </c>
      <c r="L54" s="3">
        <v>0.1</v>
      </c>
      <c r="M54" s="3" t="b">
        <v>1</v>
      </c>
      <c r="N54" s="3" t="b">
        <v>0</v>
      </c>
      <c r="O54" s="3" t="s">
        <v>149</v>
      </c>
      <c r="P54" s="3" t="b">
        <v>0</v>
      </c>
      <c r="Q54" s="3" t="b">
        <v>0</v>
      </c>
      <c r="R54" s="66" t="b">
        <v>0</v>
      </c>
      <c r="S54" s="40" t="s">
        <v>190</v>
      </c>
      <c r="T54" s="70" t="s">
        <v>192</v>
      </c>
      <c r="U54" s="17" t="s">
        <v>191</v>
      </c>
    </row>
    <row r="55" spans="1:21" ht="60" x14ac:dyDescent="0.2">
      <c r="A55" s="18">
        <v>47</v>
      </c>
      <c r="B55" s="65">
        <v>45581</v>
      </c>
      <c r="C55" s="66" t="s">
        <v>77</v>
      </c>
      <c r="D55" s="67" t="s">
        <v>24</v>
      </c>
      <c r="E55" s="68" t="s">
        <v>25</v>
      </c>
      <c r="F55" s="3" t="s">
        <v>182</v>
      </c>
      <c r="G55" s="3">
        <v>512</v>
      </c>
      <c r="H55" s="3">
        <v>300</v>
      </c>
      <c r="I55" s="3" t="s">
        <v>28</v>
      </c>
      <c r="J55" s="3">
        <v>1E-3</v>
      </c>
      <c r="K55" s="3" t="s">
        <v>29</v>
      </c>
      <c r="L55" s="3">
        <v>0.1</v>
      </c>
      <c r="M55" s="3" t="b">
        <v>1</v>
      </c>
      <c r="N55" s="3" t="b">
        <v>1</v>
      </c>
      <c r="O55" s="3" t="s">
        <v>137</v>
      </c>
      <c r="P55" s="3" t="b">
        <v>0</v>
      </c>
      <c r="Q55" s="3" t="b">
        <v>0</v>
      </c>
      <c r="R55" s="66" t="b">
        <v>0</v>
      </c>
      <c r="S55" s="39" t="s">
        <v>194</v>
      </c>
      <c r="T55" s="70" t="s">
        <v>195</v>
      </c>
      <c r="U55" s="17" t="s">
        <v>193</v>
      </c>
    </row>
    <row r="56" spans="1:21" ht="60" x14ac:dyDescent="0.25">
      <c r="A56" s="18">
        <v>48</v>
      </c>
      <c r="B56" s="65">
        <v>45581</v>
      </c>
      <c r="C56" s="66" t="s">
        <v>77</v>
      </c>
      <c r="D56" s="67" t="s">
        <v>24</v>
      </c>
      <c r="E56" s="68" t="s">
        <v>25</v>
      </c>
      <c r="F56" s="3" t="s">
        <v>197</v>
      </c>
      <c r="G56" s="3">
        <v>128</v>
      </c>
      <c r="H56" s="3">
        <v>300</v>
      </c>
      <c r="I56" s="3" t="s">
        <v>28</v>
      </c>
      <c r="J56" s="3">
        <v>1E-3</v>
      </c>
      <c r="K56" s="3" t="s">
        <v>29</v>
      </c>
      <c r="L56" s="3">
        <v>0.1</v>
      </c>
      <c r="M56" s="3" t="b">
        <v>1</v>
      </c>
      <c r="N56" s="3" t="b">
        <v>1</v>
      </c>
      <c r="O56" s="3" t="s">
        <v>196</v>
      </c>
      <c r="P56" s="3" t="b">
        <v>0</v>
      </c>
      <c r="Q56" s="3" t="b">
        <v>0</v>
      </c>
      <c r="R56" s="66" t="b">
        <v>0</v>
      </c>
      <c r="S56" s="40" t="s">
        <v>198</v>
      </c>
      <c r="T56" s="70" t="s">
        <v>199</v>
      </c>
      <c r="U56" s="17" t="s">
        <v>200</v>
      </c>
    </row>
    <row r="57" spans="1:21" ht="90" x14ac:dyDescent="0.2">
      <c r="A57" s="25">
        <v>49</v>
      </c>
      <c r="B57" s="72">
        <v>45582</v>
      </c>
      <c r="C57" s="73" t="s">
        <v>32</v>
      </c>
      <c r="D57" s="74" t="s">
        <v>24</v>
      </c>
      <c r="E57" s="75" t="s">
        <v>25</v>
      </c>
      <c r="F57" s="31" t="s">
        <v>165</v>
      </c>
      <c r="G57" s="31">
        <v>128</v>
      </c>
      <c r="H57" s="31">
        <v>50</v>
      </c>
      <c r="I57" s="31" t="s">
        <v>28</v>
      </c>
      <c r="J57" s="31">
        <v>1E-3</v>
      </c>
      <c r="K57" s="31" t="s">
        <v>29</v>
      </c>
      <c r="L57" s="31">
        <v>0.1</v>
      </c>
      <c r="M57" s="31" t="b">
        <v>1</v>
      </c>
      <c r="N57" s="31" t="b">
        <v>0</v>
      </c>
      <c r="O57" s="31" t="s">
        <v>149</v>
      </c>
      <c r="P57" s="31" t="b">
        <v>0</v>
      </c>
      <c r="Q57" s="31" t="b">
        <v>0</v>
      </c>
      <c r="R57" s="73" t="b">
        <v>0</v>
      </c>
      <c r="S57" s="37" t="s">
        <v>203</v>
      </c>
      <c r="T57" s="76" t="s">
        <v>201</v>
      </c>
      <c r="U57" s="33" t="s">
        <v>202</v>
      </c>
    </row>
    <row r="58" spans="1:21" ht="60" x14ac:dyDescent="0.2">
      <c r="A58" s="18">
        <v>50</v>
      </c>
      <c r="B58" s="65">
        <v>45583</v>
      </c>
      <c r="C58" s="66" t="s">
        <v>77</v>
      </c>
      <c r="D58" s="67" t="s">
        <v>24</v>
      </c>
      <c r="E58" s="68" t="s">
        <v>25</v>
      </c>
      <c r="F58" s="114" t="s">
        <v>213</v>
      </c>
      <c r="G58" s="3">
        <v>128</v>
      </c>
      <c r="H58" s="3">
        <v>50</v>
      </c>
      <c r="I58" s="3" t="s">
        <v>28</v>
      </c>
      <c r="J58" s="3">
        <v>1E-3</v>
      </c>
      <c r="K58" s="3" t="s">
        <v>29</v>
      </c>
      <c r="L58" s="3">
        <v>0.1</v>
      </c>
      <c r="M58" s="3" t="b">
        <v>1</v>
      </c>
      <c r="N58" s="3" t="b">
        <v>0</v>
      </c>
      <c r="O58" s="3" t="s">
        <v>149</v>
      </c>
      <c r="P58" s="3" t="b">
        <v>0</v>
      </c>
      <c r="Q58" s="3" t="b">
        <v>0</v>
      </c>
      <c r="R58" s="66" t="b">
        <v>0</v>
      </c>
      <c r="S58" s="24" t="s">
        <v>206</v>
      </c>
      <c r="T58" s="70" t="s">
        <v>208</v>
      </c>
      <c r="U58" s="17" t="s">
        <v>207</v>
      </c>
    </row>
    <row r="59" spans="1:21" ht="75" x14ac:dyDescent="0.2">
      <c r="A59" s="25">
        <v>51</v>
      </c>
      <c r="B59" s="72">
        <v>45586</v>
      </c>
      <c r="C59" s="73" t="s">
        <v>77</v>
      </c>
      <c r="D59" s="74" t="s">
        <v>24</v>
      </c>
      <c r="E59" s="75" t="s">
        <v>25</v>
      </c>
      <c r="F59" s="115" t="s">
        <v>209</v>
      </c>
      <c r="G59" s="31">
        <v>128</v>
      </c>
      <c r="H59" s="31">
        <v>2</v>
      </c>
      <c r="I59" s="31" t="s">
        <v>28</v>
      </c>
      <c r="J59" s="31">
        <v>1E-3</v>
      </c>
      <c r="K59" s="31" t="s">
        <v>29</v>
      </c>
      <c r="L59" s="31">
        <v>0.1</v>
      </c>
      <c r="M59" s="31" t="b">
        <v>1</v>
      </c>
      <c r="N59" s="31" t="b">
        <v>0</v>
      </c>
      <c r="O59" s="31" t="s">
        <v>149</v>
      </c>
      <c r="P59" s="31" t="b">
        <v>0</v>
      </c>
      <c r="Q59" s="31" t="b">
        <v>0</v>
      </c>
      <c r="R59" s="73" t="b">
        <v>0</v>
      </c>
      <c r="S59" s="116" t="s">
        <v>211</v>
      </c>
      <c r="T59" s="76" t="s">
        <v>216</v>
      </c>
      <c r="U59" s="33" t="s">
        <v>210</v>
      </c>
    </row>
    <row r="60" spans="1:21" ht="45" x14ac:dyDescent="0.25">
      <c r="A60" s="18">
        <v>52</v>
      </c>
      <c r="B60" s="65">
        <v>45586</v>
      </c>
      <c r="C60" s="66" t="s">
        <v>77</v>
      </c>
      <c r="D60" s="67" t="s">
        <v>24</v>
      </c>
      <c r="E60" s="68" t="s">
        <v>25</v>
      </c>
      <c r="F60" s="3" t="s">
        <v>214</v>
      </c>
      <c r="G60" s="3">
        <v>128</v>
      </c>
      <c r="H60" s="3">
        <v>50</v>
      </c>
      <c r="I60" s="3" t="s">
        <v>28</v>
      </c>
      <c r="J60" s="114">
        <v>1E-3</v>
      </c>
      <c r="K60" s="3" t="s">
        <v>29</v>
      </c>
      <c r="L60" s="3">
        <v>0.1</v>
      </c>
      <c r="M60" s="3" t="b">
        <v>1</v>
      </c>
      <c r="N60" s="3" t="b">
        <v>0</v>
      </c>
      <c r="O60" s="3" t="s">
        <v>149</v>
      </c>
      <c r="P60" s="3" t="s">
        <v>170</v>
      </c>
      <c r="Q60" s="3" t="b">
        <v>0</v>
      </c>
      <c r="R60" s="66" t="b">
        <v>0</v>
      </c>
      <c r="S60" s="23" t="s">
        <v>212</v>
      </c>
      <c r="T60" s="70" t="s">
        <v>217</v>
      </c>
      <c r="U60" s="17" t="s">
        <v>218</v>
      </c>
    </row>
    <row r="61" spans="1:21" ht="51.75" x14ac:dyDescent="0.25">
      <c r="A61" s="18">
        <v>53</v>
      </c>
      <c r="B61" s="65">
        <v>45586</v>
      </c>
      <c r="C61" s="66" t="s">
        <v>77</v>
      </c>
      <c r="D61" s="67" t="s">
        <v>24</v>
      </c>
      <c r="E61" s="68" t="s">
        <v>25</v>
      </c>
      <c r="F61" s="3" t="s">
        <v>221</v>
      </c>
      <c r="G61" s="3">
        <v>128</v>
      </c>
      <c r="H61" s="3">
        <v>50</v>
      </c>
      <c r="I61" s="3" t="s">
        <v>28</v>
      </c>
      <c r="J61" s="114" t="s">
        <v>215</v>
      </c>
      <c r="K61" s="3" t="s">
        <v>29</v>
      </c>
      <c r="L61" s="114" t="s">
        <v>222</v>
      </c>
      <c r="M61" s="3" t="b">
        <v>1</v>
      </c>
      <c r="N61" s="3" t="b">
        <v>0</v>
      </c>
      <c r="O61" s="3" t="s">
        <v>149</v>
      </c>
      <c r="P61" s="3" t="b">
        <v>0</v>
      </c>
      <c r="Q61" s="3" t="b">
        <v>0</v>
      </c>
      <c r="R61" s="66" t="b">
        <v>0</v>
      </c>
      <c r="S61" s="23" t="s">
        <v>219</v>
      </c>
      <c r="T61" s="70" t="s">
        <v>220</v>
      </c>
      <c r="U61" s="97" t="s">
        <v>223</v>
      </c>
    </row>
    <row r="62" spans="1:21" ht="75" x14ac:dyDescent="0.25">
      <c r="A62" s="18">
        <v>54</v>
      </c>
      <c r="B62" s="65">
        <v>45586</v>
      </c>
      <c r="C62" s="66" t="s">
        <v>77</v>
      </c>
      <c r="D62" s="67" t="s">
        <v>24</v>
      </c>
      <c r="E62" s="68" t="s">
        <v>25</v>
      </c>
      <c r="F62" s="114" t="s">
        <v>224</v>
      </c>
      <c r="G62" s="3">
        <v>128</v>
      </c>
      <c r="H62" s="3">
        <v>100</v>
      </c>
      <c r="I62" s="3" t="s">
        <v>28</v>
      </c>
      <c r="J62" s="3">
        <v>1E-3</v>
      </c>
      <c r="K62" s="3" t="s">
        <v>29</v>
      </c>
      <c r="L62" s="114" t="s">
        <v>225</v>
      </c>
      <c r="M62" s="3" t="b">
        <v>1</v>
      </c>
      <c r="N62" s="3" t="b">
        <v>0</v>
      </c>
      <c r="O62" s="3" t="s">
        <v>149</v>
      </c>
      <c r="P62" s="3" t="b">
        <v>0</v>
      </c>
      <c r="Q62" s="3" t="b">
        <v>0</v>
      </c>
      <c r="R62" s="66" t="b">
        <v>0</v>
      </c>
      <c r="S62" s="40" t="s">
        <v>226</v>
      </c>
      <c r="T62" s="70" t="s">
        <v>230</v>
      </c>
      <c r="U62" s="95" t="s">
        <v>227</v>
      </c>
    </row>
    <row r="63" spans="1:21" ht="60" x14ac:dyDescent="0.25">
      <c r="A63" s="18">
        <v>55</v>
      </c>
      <c r="B63" s="65">
        <v>45586</v>
      </c>
      <c r="C63" s="66" t="s">
        <v>77</v>
      </c>
      <c r="D63" s="67" t="s">
        <v>24</v>
      </c>
      <c r="E63" s="68" t="s">
        <v>25</v>
      </c>
      <c r="F63" s="114" t="s">
        <v>228</v>
      </c>
      <c r="G63" s="3">
        <v>128</v>
      </c>
      <c r="H63" s="3">
        <v>400</v>
      </c>
      <c r="I63" s="3" t="s">
        <v>28</v>
      </c>
      <c r="J63" s="3">
        <v>1E-3</v>
      </c>
      <c r="K63" s="3" t="s">
        <v>29</v>
      </c>
      <c r="L63" s="114" t="s">
        <v>222</v>
      </c>
      <c r="M63" s="3" t="b">
        <v>1</v>
      </c>
      <c r="N63" s="3" t="b">
        <v>0</v>
      </c>
      <c r="O63" s="3" t="s">
        <v>149</v>
      </c>
      <c r="P63" s="3" t="b">
        <v>0</v>
      </c>
      <c r="Q63" s="3" t="b">
        <v>0</v>
      </c>
      <c r="R63" s="66" t="b">
        <v>0</v>
      </c>
      <c r="S63" s="40" t="s">
        <v>229</v>
      </c>
      <c r="T63" s="70" t="s">
        <v>231</v>
      </c>
      <c r="U63" s="17"/>
    </row>
    <row r="64" spans="1:21" ht="45" x14ac:dyDescent="0.25">
      <c r="A64" s="117">
        <v>56</v>
      </c>
      <c r="B64" s="72">
        <v>45587</v>
      </c>
      <c r="C64" s="73" t="s">
        <v>32</v>
      </c>
      <c r="D64" s="74" t="s">
        <v>234</v>
      </c>
      <c r="E64" s="75" t="s">
        <v>25</v>
      </c>
      <c r="F64" s="31" t="s">
        <v>165</v>
      </c>
      <c r="G64" s="31">
        <v>128</v>
      </c>
      <c r="H64" s="31">
        <v>100</v>
      </c>
      <c r="I64" s="31" t="s">
        <v>28</v>
      </c>
      <c r="J64" s="31">
        <v>1E-3</v>
      </c>
      <c r="K64" s="31" t="s">
        <v>29</v>
      </c>
      <c r="L64" s="118" t="s">
        <v>222</v>
      </c>
      <c r="M64" s="31" t="b">
        <v>1</v>
      </c>
      <c r="N64" s="31" t="b">
        <v>0</v>
      </c>
      <c r="O64" s="31" t="s">
        <v>149</v>
      </c>
      <c r="P64" s="31" t="b">
        <v>0</v>
      </c>
      <c r="Q64" s="31" t="b">
        <v>0</v>
      </c>
      <c r="R64" s="73" t="b">
        <v>0</v>
      </c>
      <c r="S64" s="119" t="s">
        <v>232</v>
      </c>
      <c r="T64" s="76" t="s">
        <v>233</v>
      </c>
      <c r="U64" s="33" t="s">
        <v>238</v>
      </c>
    </row>
    <row r="65" spans="1:21" ht="45" x14ac:dyDescent="0.25">
      <c r="A65" s="18">
        <v>57</v>
      </c>
      <c r="B65" s="65">
        <v>45587</v>
      </c>
      <c r="C65" s="66" t="s">
        <v>32</v>
      </c>
      <c r="D65" s="67" t="s">
        <v>234</v>
      </c>
      <c r="E65" s="68" t="s">
        <v>25</v>
      </c>
      <c r="F65" s="114" t="s">
        <v>235</v>
      </c>
      <c r="G65" s="3">
        <v>128</v>
      </c>
      <c r="H65" s="3">
        <v>100</v>
      </c>
      <c r="I65" s="3" t="s">
        <v>28</v>
      </c>
      <c r="J65" s="3">
        <v>1E-3</v>
      </c>
      <c r="K65" s="3" t="s">
        <v>29</v>
      </c>
      <c r="L65" s="114" t="s">
        <v>222</v>
      </c>
      <c r="M65" s="3" t="b">
        <v>1</v>
      </c>
      <c r="N65" s="3" t="b">
        <v>0</v>
      </c>
      <c r="O65" s="3" t="s">
        <v>149</v>
      </c>
      <c r="P65" s="3" t="s">
        <v>170</v>
      </c>
      <c r="Q65" s="3" t="b">
        <v>0</v>
      </c>
      <c r="R65" s="66" t="b">
        <v>0</v>
      </c>
      <c r="S65" s="23" t="s">
        <v>236</v>
      </c>
      <c r="T65" s="70" t="s">
        <v>237</v>
      </c>
      <c r="U65" s="17" t="s">
        <v>239</v>
      </c>
    </row>
    <row r="66" spans="1:21" ht="60" x14ac:dyDescent="0.25">
      <c r="A66" s="7">
        <v>58</v>
      </c>
      <c r="B66" s="65">
        <v>45587</v>
      </c>
      <c r="C66" s="66" t="s">
        <v>77</v>
      </c>
      <c r="D66" s="67" t="s">
        <v>234</v>
      </c>
      <c r="E66" s="68" t="s">
        <v>25</v>
      </c>
      <c r="F66" s="114" t="s">
        <v>241</v>
      </c>
      <c r="G66" s="3">
        <v>128</v>
      </c>
      <c r="H66" s="3">
        <v>100</v>
      </c>
      <c r="I66" s="3" t="s">
        <v>28</v>
      </c>
      <c r="J66" s="3">
        <v>1E-3</v>
      </c>
      <c r="K66" s="3" t="s">
        <v>29</v>
      </c>
      <c r="L66" s="114" t="s">
        <v>222</v>
      </c>
      <c r="M66" s="3" t="b">
        <v>1</v>
      </c>
      <c r="N66" s="3" t="b">
        <v>0</v>
      </c>
      <c r="O66" s="3" t="s">
        <v>149</v>
      </c>
      <c r="P66" s="3" t="s">
        <v>170</v>
      </c>
      <c r="Q66" s="3" t="b">
        <v>0</v>
      </c>
      <c r="R66" s="66" t="b">
        <v>0</v>
      </c>
      <c r="S66" s="40" t="s">
        <v>242</v>
      </c>
      <c r="T66" s="70" t="s">
        <v>240</v>
      </c>
      <c r="U66" s="17" t="s">
        <v>243</v>
      </c>
    </row>
    <row r="67" spans="1:21" ht="60" x14ac:dyDescent="0.25">
      <c r="A67" s="18">
        <v>59</v>
      </c>
      <c r="B67" s="65">
        <v>45587</v>
      </c>
      <c r="C67" s="126" t="s">
        <v>32</v>
      </c>
      <c r="D67" s="67" t="s">
        <v>244</v>
      </c>
      <c r="E67" s="127" t="s">
        <v>25</v>
      </c>
      <c r="F67" s="3" t="s">
        <v>165</v>
      </c>
      <c r="G67" s="3">
        <v>128</v>
      </c>
      <c r="H67" s="3">
        <v>50</v>
      </c>
      <c r="I67" s="3" t="s">
        <v>28</v>
      </c>
      <c r="J67" s="3">
        <v>1E-3</v>
      </c>
      <c r="K67" s="3" t="s">
        <v>29</v>
      </c>
      <c r="L67" s="114" t="s">
        <v>222</v>
      </c>
      <c r="M67" s="3" t="b">
        <v>1</v>
      </c>
      <c r="N67" s="3" t="b">
        <v>0</v>
      </c>
      <c r="O67" s="3" t="s">
        <v>149</v>
      </c>
      <c r="P67" s="3" t="s">
        <v>170</v>
      </c>
      <c r="Q67" s="3" t="b">
        <v>0</v>
      </c>
      <c r="R67" s="66" t="b">
        <v>0</v>
      </c>
      <c r="S67" s="40" t="s">
        <v>247</v>
      </c>
      <c r="T67" s="70" t="s">
        <v>246</v>
      </c>
      <c r="U67" s="17" t="s">
        <v>245</v>
      </c>
    </row>
    <row r="68" spans="1:21" ht="60" x14ac:dyDescent="0.25">
      <c r="A68" s="142">
        <v>60</v>
      </c>
      <c r="B68" s="72">
        <v>45588</v>
      </c>
      <c r="C68" s="132" t="s">
        <v>32</v>
      </c>
      <c r="D68" s="74" t="s">
        <v>244</v>
      </c>
      <c r="E68" s="133" t="s">
        <v>25</v>
      </c>
      <c r="F68" s="131" t="s">
        <v>248</v>
      </c>
      <c r="G68" s="31">
        <v>128</v>
      </c>
      <c r="H68" s="31">
        <v>50</v>
      </c>
      <c r="I68" s="31" t="s">
        <v>28</v>
      </c>
      <c r="J68" s="31">
        <v>1E-3</v>
      </c>
      <c r="K68" s="31" t="s">
        <v>29</v>
      </c>
      <c r="L68" s="118">
        <v>0.1</v>
      </c>
      <c r="M68" s="31" t="b">
        <v>0</v>
      </c>
      <c r="N68" s="31" t="b">
        <v>0</v>
      </c>
      <c r="O68" s="31" t="s">
        <v>149</v>
      </c>
      <c r="P68" s="31" t="b">
        <v>0</v>
      </c>
      <c r="Q68" s="31" t="b">
        <v>0</v>
      </c>
      <c r="R68" s="130" t="b">
        <v>0</v>
      </c>
      <c r="S68" s="40" t="s">
        <v>250</v>
      </c>
      <c r="T68" s="128" t="s">
        <v>249</v>
      </c>
      <c r="U68" s="129" t="s">
        <v>251</v>
      </c>
    </row>
    <row r="69" spans="1:21" ht="15" x14ac:dyDescent="0.25">
      <c r="A69" s="61">
        <v>61</v>
      </c>
      <c r="B69" s="65">
        <v>45588</v>
      </c>
      <c r="C69" s="66" t="s">
        <v>32</v>
      </c>
      <c r="D69" s="134" t="s">
        <v>244</v>
      </c>
      <c r="E69" s="135" t="s">
        <v>25</v>
      </c>
      <c r="F69" s="3" t="s">
        <v>248</v>
      </c>
      <c r="G69" s="3">
        <v>128</v>
      </c>
      <c r="H69" s="3">
        <v>50</v>
      </c>
      <c r="I69" s="3" t="s">
        <v>28</v>
      </c>
      <c r="J69" s="3">
        <v>1E-3</v>
      </c>
      <c r="K69" s="3" t="s">
        <v>29</v>
      </c>
      <c r="L69" s="114">
        <v>0.1</v>
      </c>
      <c r="M69" s="3" t="b">
        <v>0</v>
      </c>
      <c r="N69" s="3" t="b">
        <v>0</v>
      </c>
      <c r="O69" s="3" t="s">
        <v>149</v>
      </c>
      <c r="P69" s="3" t="b">
        <v>0</v>
      </c>
      <c r="Q69" s="3" t="b">
        <v>0</v>
      </c>
      <c r="R69" s="135" t="b">
        <v>0</v>
      </c>
      <c r="S69" s="23" t="s">
        <v>253</v>
      </c>
      <c r="T69" s="70" t="s">
        <v>254</v>
      </c>
      <c r="U69" s="7" t="s">
        <v>252</v>
      </c>
    </row>
    <row r="70" spans="1:21" ht="60" x14ac:dyDescent="0.25">
      <c r="A70" s="61">
        <v>62</v>
      </c>
      <c r="B70" s="65">
        <v>45588</v>
      </c>
      <c r="C70" s="137" t="s">
        <v>32</v>
      </c>
      <c r="D70" s="134" t="s">
        <v>244</v>
      </c>
      <c r="E70" s="135" t="s">
        <v>25</v>
      </c>
      <c r="F70" s="3" t="s">
        <v>248</v>
      </c>
      <c r="G70" s="3">
        <v>128</v>
      </c>
      <c r="H70" s="3">
        <v>200</v>
      </c>
      <c r="I70" s="3" t="s">
        <v>28</v>
      </c>
      <c r="J70" s="3">
        <v>1E-3</v>
      </c>
      <c r="K70" s="3" t="s">
        <v>29</v>
      </c>
      <c r="L70" s="114">
        <v>0.1</v>
      </c>
      <c r="M70" s="3" t="b">
        <v>0</v>
      </c>
      <c r="N70" s="3" t="b">
        <v>0</v>
      </c>
      <c r="O70" s="3" t="s">
        <v>149</v>
      </c>
      <c r="P70" s="3" t="b">
        <v>0</v>
      </c>
      <c r="Q70" s="3" t="b">
        <v>0</v>
      </c>
      <c r="R70" s="135" t="b">
        <v>0</v>
      </c>
      <c r="S70" s="136" t="s">
        <v>257</v>
      </c>
      <c r="T70" s="121" t="s">
        <v>255</v>
      </c>
      <c r="U70" s="7" t="s">
        <v>256</v>
      </c>
    </row>
    <row r="71" spans="1:21" ht="60" x14ac:dyDescent="0.25">
      <c r="A71" s="61">
        <v>63</v>
      </c>
      <c r="B71" s="65">
        <v>45588</v>
      </c>
      <c r="C71" s="137" t="s">
        <v>32</v>
      </c>
      <c r="D71" s="134" t="s">
        <v>244</v>
      </c>
      <c r="E71" s="135" t="s">
        <v>25</v>
      </c>
      <c r="F71" s="3" t="s">
        <v>248</v>
      </c>
      <c r="G71" s="3">
        <v>128</v>
      </c>
      <c r="H71" s="3">
        <v>200</v>
      </c>
      <c r="I71" s="3" t="s">
        <v>28</v>
      </c>
      <c r="J71" s="3">
        <v>1E-3</v>
      </c>
      <c r="K71" s="3" t="s">
        <v>29</v>
      </c>
      <c r="L71" s="114">
        <v>0.1</v>
      </c>
      <c r="M71" s="3" t="b">
        <v>0</v>
      </c>
      <c r="N71" s="3" t="b">
        <v>0</v>
      </c>
      <c r="O71" s="3" t="s">
        <v>149</v>
      </c>
      <c r="P71" s="3" t="b">
        <v>0</v>
      </c>
      <c r="Q71" s="3" t="b">
        <v>0</v>
      </c>
      <c r="R71" s="138">
        <v>1.0000000000000001E-5</v>
      </c>
      <c r="S71" s="40" t="s">
        <v>260</v>
      </c>
      <c r="T71" s="121" t="s">
        <v>258</v>
      </c>
      <c r="U71" s="7" t="s">
        <v>259</v>
      </c>
    </row>
    <row r="72" spans="1:21" ht="30" x14ac:dyDescent="0.25">
      <c r="A72" s="61">
        <v>64</v>
      </c>
      <c r="B72" s="65">
        <v>45588</v>
      </c>
      <c r="C72" s="137" t="s">
        <v>32</v>
      </c>
      <c r="D72" s="134" t="s">
        <v>244</v>
      </c>
      <c r="E72" s="135" t="s">
        <v>25</v>
      </c>
      <c r="F72" s="3" t="s">
        <v>248</v>
      </c>
      <c r="G72" s="3">
        <v>32</v>
      </c>
      <c r="H72" s="3">
        <v>200</v>
      </c>
      <c r="I72" s="3" t="s">
        <v>28</v>
      </c>
      <c r="J72" s="3">
        <v>1E-3</v>
      </c>
      <c r="K72" s="3" t="s">
        <v>29</v>
      </c>
      <c r="L72" s="114">
        <v>0</v>
      </c>
      <c r="M72" s="3" t="b">
        <v>0</v>
      </c>
      <c r="N72" s="3" t="b">
        <v>0</v>
      </c>
      <c r="O72" s="3" t="s">
        <v>149</v>
      </c>
      <c r="P72" s="3" t="b">
        <v>0</v>
      </c>
      <c r="Q72" s="3" t="b">
        <v>0</v>
      </c>
      <c r="R72" s="138">
        <v>1.0000000000000001E-5</v>
      </c>
      <c r="S72" s="40" t="s">
        <v>263</v>
      </c>
      <c r="T72" s="121" t="s">
        <v>261</v>
      </c>
      <c r="U72" s="97" t="s">
        <v>262</v>
      </c>
    </row>
    <row r="73" spans="1:21" ht="60" x14ac:dyDescent="0.25">
      <c r="A73" s="61">
        <v>65</v>
      </c>
      <c r="B73" s="65">
        <v>45588</v>
      </c>
      <c r="C73" s="137" t="s">
        <v>32</v>
      </c>
      <c r="D73" s="134" t="s">
        <v>244</v>
      </c>
      <c r="E73" s="135" t="s">
        <v>25</v>
      </c>
      <c r="F73" s="3" t="s">
        <v>248</v>
      </c>
      <c r="G73" s="3">
        <v>32</v>
      </c>
      <c r="H73" s="3">
        <v>200</v>
      </c>
      <c r="I73" s="3" t="s">
        <v>28</v>
      </c>
      <c r="J73" s="3">
        <v>1E-3</v>
      </c>
      <c r="K73" s="3" t="s">
        <v>29</v>
      </c>
      <c r="L73" s="114">
        <v>0</v>
      </c>
      <c r="M73" s="3" t="s">
        <v>264</v>
      </c>
      <c r="N73" s="3" t="b">
        <v>0</v>
      </c>
      <c r="O73" s="3" t="s">
        <v>149</v>
      </c>
      <c r="P73" s="3" t="b">
        <v>0</v>
      </c>
      <c r="Q73" s="3" t="b">
        <v>0</v>
      </c>
      <c r="R73" s="138">
        <v>1.0000000000000001E-5</v>
      </c>
      <c r="S73" s="40" t="s">
        <v>266</v>
      </c>
      <c r="T73" s="121" t="s">
        <v>265</v>
      </c>
      <c r="U73" s="97" t="s">
        <v>267</v>
      </c>
    </row>
    <row r="74" spans="1:21" ht="75" x14ac:dyDescent="0.25">
      <c r="A74" s="61">
        <v>66</v>
      </c>
      <c r="B74" s="65">
        <v>45588</v>
      </c>
      <c r="C74" s="137" t="s">
        <v>77</v>
      </c>
      <c r="D74" s="134" t="s">
        <v>244</v>
      </c>
      <c r="E74" s="135" t="s">
        <v>25</v>
      </c>
      <c r="F74" s="3" t="s">
        <v>248</v>
      </c>
      <c r="G74" s="3">
        <v>128</v>
      </c>
      <c r="H74" s="3">
        <v>50</v>
      </c>
      <c r="I74" s="3" t="s">
        <v>28</v>
      </c>
      <c r="J74" s="3">
        <v>1E-3</v>
      </c>
      <c r="K74" s="3" t="s">
        <v>29</v>
      </c>
      <c r="L74" s="114">
        <v>0</v>
      </c>
      <c r="M74" s="3" t="s">
        <v>270</v>
      </c>
      <c r="N74" s="3" t="b">
        <v>0</v>
      </c>
      <c r="O74" s="3" t="s">
        <v>149</v>
      </c>
      <c r="P74" s="3" t="b">
        <v>0</v>
      </c>
      <c r="Q74" s="3" t="b">
        <v>0</v>
      </c>
      <c r="R74" s="138">
        <v>1.0000000000000001E-5</v>
      </c>
      <c r="S74" s="40" t="s">
        <v>268</v>
      </c>
      <c r="T74" s="139" t="s">
        <v>269</v>
      </c>
      <c r="U74" s="97" t="s">
        <v>274</v>
      </c>
    </row>
    <row r="75" spans="1:21" ht="64.5" x14ac:dyDescent="0.25">
      <c r="A75" s="61">
        <v>67</v>
      </c>
      <c r="B75" s="65">
        <v>45588</v>
      </c>
      <c r="C75" s="137" t="s">
        <v>77</v>
      </c>
      <c r="D75" s="134" t="s">
        <v>244</v>
      </c>
      <c r="E75" s="135" t="s">
        <v>25</v>
      </c>
      <c r="F75" s="3" t="s">
        <v>248</v>
      </c>
      <c r="G75" s="3">
        <v>128</v>
      </c>
      <c r="H75" s="141">
        <v>200</v>
      </c>
      <c r="I75" s="3" t="s">
        <v>28</v>
      </c>
      <c r="J75" s="61">
        <v>1E-3</v>
      </c>
      <c r="K75" s="61" t="s">
        <v>271</v>
      </c>
      <c r="L75" s="141">
        <v>0</v>
      </c>
      <c r="M75" s="61" t="b">
        <v>0</v>
      </c>
      <c r="N75" s="61" t="b">
        <v>0</v>
      </c>
      <c r="O75" s="61" t="s">
        <v>149</v>
      </c>
      <c r="P75" s="61" t="b">
        <v>0</v>
      </c>
      <c r="Q75" s="61" t="b">
        <v>0</v>
      </c>
      <c r="R75" s="138">
        <v>1.0000000000000001E-5</v>
      </c>
      <c r="S75" s="40" t="s">
        <v>272</v>
      </c>
      <c r="T75" s="139" t="s">
        <v>273</v>
      </c>
      <c r="U75" s="97" t="s">
        <v>275</v>
      </c>
    </row>
    <row r="76" spans="1:21" ht="60" x14ac:dyDescent="0.25">
      <c r="A76" s="61">
        <v>68</v>
      </c>
      <c r="B76" s="65">
        <v>45588</v>
      </c>
      <c r="C76" s="137" t="s">
        <v>77</v>
      </c>
      <c r="D76" s="134" t="s">
        <v>244</v>
      </c>
      <c r="E76" s="135" t="s">
        <v>25</v>
      </c>
      <c r="F76" s="3" t="s">
        <v>182</v>
      </c>
      <c r="G76" s="3">
        <v>128</v>
      </c>
      <c r="H76" s="141">
        <v>200</v>
      </c>
      <c r="I76" s="3" t="s">
        <v>28</v>
      </c>
      <c r="J76" s="61">
        <v>1E-3</v>
      </c>
      <c r="K76" s="61" t="s">
        <v>271</v>
      </c>
      <c r="L76" s="141">
        <v>0.1</v>
      </c>
      <c r="M76" s="61" t="b">
        <v>0</v>
      </c>
      <c r="N76" s="61" t="b">
        <v>0</v>
      </c>
      <c r="O76" s="61" t="s">
        <v>149</v>
      </c>
      <c r="P76" s="61" t="b">
        <v>0</v>
      </c>
      <c r="Q76" s="61" t="b">
        <v>0</v>
      </c>
      <c r="R76" s="138">
        <v>1.0000000000000001E-5</v>
      </c>
      <c r="S76" s="40" t="s">
        <v>278</v>
      </c>
      <c r="T76" s="139" t="s">
        <v>276</v>
      </c>
      <c r="U76" s="97" t="s">
        <v>277</v>
      </c>
    </row>
    <row r="77" spans="1:21" ht="64.5" x14ac:dyDescent="0.25">
      <c r="A77" s="61">
        <v>69</v>
      </c>
      <c r="B77" s="65">
        <v>45589</v>
      </c>
      <c r="C77" s="137" t="s">
        <v>77</v>
      </c>
      <c r="D77" s="134" t="s">
        <v>244</v>
      </c>
      <c r="E77" s="140" t="s">
        <v>25</v>
      </c>
      <c r="F77" s="3" t="s">
        <v>279</v>
      </c>
      <c r="G77" s="3">
        <v>128</v>
      </c>
      <c r="H77" s="3">
        <v>50</v>
      </c>
      <c r="I77" s="3" t="s">
        <v>28</v>
      </c>
      <c r="J77" s="3">
        <v>1E-3</v>
      </c>
      <c r="K77" s="3" t="s">
        <v>29</v>
      </c>
      <c r="L77" s="114">
        <v>0</v>
      </c>
      <c r="M77" s="3" t="s">
        <v>270</v>
      </c>
      <c r="N77" s="3" t="b">
        <v>0</v>
      </c>
      <c r="O77" s="3" t="s">
        <v>149</v>
      </c>
      <c r="P77" s="3" t="b">
        <v>0</v>
      </c>
      <c r="Q77" s="3" t="b">
        <v>0</v>
      </c>
      <c r="R77" s="138">
        <v>1.0000000000000001E-5</v>
      </c>
      <c r="S77" s="143" t="s">
        <v>282</v>
      </c>
      <c r="T77" s="139" t="s">
        <v>281</v>
      </c>
      <c r="U77" s="97" t="s">
        <v>280</v>
      </c>
    </row>
    <row r="78" spans="1:21" ht="30" x14ac:dyDescent="0.25">
      <c r="A78" s="142">
        <v>70</v>
      </c>
      <c r="B78" s="72">
        <v>45593</v>
      </c>
      <c r="C78" s="148" t="s">
        <v>77</v>
      </c>
      <c r="D78" s="144" t="s">
        <v>244</v>
      </c>
      <c r="E78" s="133" t="s">
        <v>25</v>
      </c>
      <c r="F78" s="118" t="s">
        <v>283</v>
      </c>
      <c r="G78" s="31">
        <v>128</v>
      </c>
      <c r="H78" s="31">
        <v>50</v>
      </c>
      <c r="I78" s="31" t="s">
        <v>28</v>
      </c>
      <c r="J78" s="31">
        <v>1E-3</v>
      </c>
      <c r="K78" s="31" t="s">
        <v>29</v>
      </c>
      <c r="L78" s="118">
        <v>0.1</v>
      </c>
      <c r="M78" s="31" t="s">
        <v>270</v>
      </c>
      <c r="N78" s="31" t="b">
        <v>0</v>
      </c>
      <c r="O78" s="31" t="s">
        <v>149</v>
      </c>
      <c r="P78" s="31" t="b">
        <v>0</v>
      </c>
      <c r="Q78" s="31" t="b">
        <v>0</v>
      </c>
      <c r="R78" s="145">
        <v>1.0000000000000001E-5</v>
      </c>
      <c r="S78" s="146" t="s">
        <v>285</v>
      </c>
      <c r="T78" s="147" t="s">
        <v>284</v>
      </c>
      <c r="U78" s="129" t="s">
        <v>286</v>
      </c>
    </row>
    <row r="79" spans="1:21" ht="60" x14ac:dyDescent="0.25">
      <c r="A79" s="18">
        <v>71</v>
      </c>
      <c r="B79" s="65">
        <v>45594</v>
      </c>
      <c r="C79" s="137" t="s">
        <v>32</v>
      </c>
      <c r="D79" s="134" t="s">
        <v>287</v>
      </c>
      <c r="E79" s="135" t="s">
        <v>25</v>
      </c>
      <c r="F79" s="3" t="s">
        <v>248</v>
      </c>
      <c r="G79" s="3">
        <v>128</v>
      </c>
      <c r="H79" s="141">
        <v>50</v>
      </c>
      <c r="I79" s="3" t="s">
        <v>28</v>
      </c>
      <c r="J79" s="61">
        <v>1E-3</v>
      </c>
      <c r="K79" s="61" t="s">
        <v>29</v>
      </c>
      <c r="L79" s="141">
        <v>0.1</v>
      </c>
      <c r="M79" s="61" t="b">
        <v>0</v>
      </c>
      <c r="N79" s="61" t="b">
        <v>0</v>
      </c>
      <c r="O79" s="61" t="s">
        <v>149</v>
      </c>
      <c r="P79" s="61" t="b">
        <v>0</v>
      </c>
      <c r="Q79" s="61" t="b">
        <v>0</v>
      </c>
      <c r="R79" s="138">
        <v>1.0000000000000001E-5</v>
      </c>
      <c r="S79" s="40" t="s">
        <v>290</v>
      </c>
      <c r="T79" s="139" t="s">
        <v>288</v>
      </c>
      <c r="U79" s="97" t="s">
        <v>289</v>
      </c>
    </row>
    <row r="80" spans="1:21" ht="75" x14ac:dyDescent="0.25">
      <c r="A80" s="61">
        <v>72</v>
      </c>
      <c r="B80" s="65">
        <v>45594</v>
      </c>
      <c r="C80" s="140" t="s">
        <v>32</v>
      </c>
      <c r="D80" s="134" t="s">
        <v>287</v>
      </c>
      <c r="E80" s="135" t="s">
        <v>25</v>
      </c>
      <c r="F80" s="3" t="s">
        <v>248</v>
      </c>
      <c r="G80" s="141">
        <v>128</v>
      </c>
      <c r="H80" s="141">
        <v>10</v>
      </c>
      <c r="I80" s="3" t="s">
        <v>28</v>
      </c>
      <c r="J80" s="61">
        <v>1E-3</v>
      </c>
      <c r="K80" s="61" t="s">
        <v>29</v>
      </c>
      <c r="L80" s="141">
        <v>0.1</v>
      </c>
      <c r="M80" s="61" t="b">
        <v>0</v>
      </c>
      <c r="N80" s="61" t="b">
        <v>0</v>
      </c>
      <c r="O80" s="61" t="s">
        <v>149</v>
      </c>
      <c r="P80" s="61" t="b">
        <v>0</v>
      </c>
      <c r="Q80" s="61" t="b">
        <v>0</v>
      </c>
      <c r="R80" s="138">
        <v>1.0000000000000001E-5</v>
      </c>
      <c r="S80" s="40" t="s">
        <v>292</v>
      </c>
      <c r="T80" s="149" t="s">
        <v>293</v>
      </c>
      <c r="U80" s="150" t="s">
        <v>291</v>
      </c>
    </row>
    <row r="81" spans="1:21" ht="60" x14ac:dyDescent="0.2">
      <c r="A81" s="61">
        <v>73</v>
      </c>
      <c r="B81" s="65">
        <v>45594</v>
      </c>
      <c r="C81" s="140" t="s">
        <v>32</v>
      </c>
      <c r="D81" s="134" t="s">
        <v>287</v>
      </c>
      <c r="E81" s="135" t="s">
        <v>25</v>
      </c>
      <c r="F81" s="3" t="s">
        <v>248</v>
      </c>
      <c r="G81" s="61">
        <v>128</v>
      </c>
      <c r="H81" s="61">
        <v>200</v>
      </c>
      <c r="I81" s="61" t="s">
        <v>28</v>
      </c>
      <c r="J81" s="61">
        <v>1E-3</v>
      </c>
      <c r="K81" s="61" t="s">
        <v>29</v>
      </c>
      <c r="L81" s="61">
        <v>0.1</v>
      </c>
      <c r="M81" s="61" t="b">
        <v>0</v>
      </c>
      <c r="N81" s="61" t="b">
        <v>1</v>
      </c>
      <c r="O81" s="61" t="s">
        <v>30</v>
      </c>
      <c r="P81" s="61" t="b">
        <v>0</v>
      </c>
      <c r="Q81" s="61" t="b">
        <v>0</v>
      </c>
      <c r="R81" s="138">
        <v>1.0000000000000001E-5</v>
      </c>
      <c r="S81" s="39" t="s">
        <v>295</v>
      </c>
      <c r="T81" s="140" t="s">
        <v>294</v>
      </c>
      <c r="U81" s="150" t="s">
        <v>296</v>
      </c>
    </row>
    <row r="82" spans="1:21" ht="26.25" x14ac:dyDescent="0.25">
      <c r="A82" s="61">
        <v>74</v>
      </c>
      <c r="B82" s="65">
        <v>45595</v>
      </c>
      <c r="C82" s="135" t="s">
        <v>77</v>
      </c>
      <c r="D82" s="134" t="s">
        <v>287</v>
      </c>
      <c r="E82" s="135" t="s">
        <v>25</v>
      </c>
      <c r="F82" s="7" t="s">
        <v>248</v>
      </c>
      <c r="G82" s="7">
        <v>128</v>
      </c>
      <c r="H82" s="7">
        <v>200</v>
      </c>
      <c r="I82" s="7" t="s">
        <v>28</v>
      </c>
      <c r="J82" s="7">
        <v>1E-3</v>
      </c>
      <c r="K82" s="61" t="s">
        <v>29</v>
      </c>
      <c r="L82" s="7">
        <v>0.1</v>
      </c>
      <c r="M82" s="7" t="b">
        <v>0</v>
      </c>
      <c r="N82" s="7" t="b">
        <v>0</v>
      </c>
      <c r="O82" s="7" t="s">
        <v>149</v>
      </c>
      <c r="P82" s="7" t="b">
        <v>0</v>
      </c>
      <c r="Q82" s="7" t="b">
        <v>0</v>
      </c>
      <c r="R82" s="138" t="s">
        <v>149</v>
      </c>
      <c r="S82" s="151" t="s">
        <v>297</v>
      </c>
      <c r="T82" s="121" t="s">
        <v>298</v>
      </c>
      <c r="U82" s="97" t="s">
        <v>299</v>
      </c>
    </row>
    <row r="83" spans="1:21" ht="26.25" x14ac:dyDescent="0.25">
      <c r="A83" s="61">
        <v>75</v>
      </c>
      <c r="B83" s="65">
        <v>45595</v>
      </c>
      <c r="C83" s="135" t="s">
        <v>77</v>
      </c>
      <c r="D83" s="134" t="s">
        <v>287</v>
      </c>
      <c r="E83" s="135" t="s">
        <v>25</v>
      </c>
      <c r="F83" s="7" t="s">
        <v>301</v>
      </c>
      <c r="G83" s="7">
        <v>4000</v>
      </c>
      <c r="H83" s="7" t="s">
        <v>300</v>
      </c>
      <c r="I83" s="7" t="s">
        <v>158</v>
      </c>
      <c r="J83" s="7">
        <v>1E-3</v>
      </c>
      <c r="K83" s="61" t="s">
        <v>29</v>
      </c>
      <c r="L83" s="7">
        <v>0</v>
      </c>
      <c r="M83" s="61" t="b">
        <v>0</v>
      </c>
      <c r="N83" s="7" t="b">
        <v>0</v>
      </c>
      <c r="O83" s="7" t="s">
        <v>149</v>
      </c>
      <c r="P83" s="7" t="b">
        <v>0</v>
      </c>
      <c r="Q83" s="7" t="b">
        <v>0</v>
      </c>
      <c r="R83" s="138" t="s">
        <v>149</v>
      </c>
      <c r="S83" s="151" t="s">
        <v>302</v>
      </c>
      <c r="T83" s="121" t="s">
        <v>303</v>
      </c>
      <c r="U83" s="97" t="s">
        <v>304</v>
      </c>
    </row>
    <row r="84" spans="1:21" ht="39" x14ac:dyDescent="0.25">
      <c r="A84" s="61">
        <v>76</v>
      </c>
      <c r="B84" s="65">
        <v>45595</v>
      </c>
      <c r="C84" s="135" t="s">
        <v>77</v>
      </c>
      <c r="D84" s="134" t="s">
        <v>287</v>
      </c>
      <c r="E84" s="121" t="s">
        <v>25</v>
      </c>
      <c r="F84" s="7" t="s">
        <v>301</v>
      </c>
      <c r="G84" s="152" t="s">
        <v>310</v>
      </c>
      <c r="H84" s="7" t="s">
        <v>300</v>
      </c>
      <c r="I84" s="7" t="s">
        <v>28</v>
      </c>
      <c r="J84" s="7">
        <v>1E-3</v>
      </c>
      <c r="K84" s="61" t="s">
        <v>271</v>
      </c>
      <c r="L84" s="7">
        <v>0.05</v>
      </c>
      <c r="M84" s="61" t="b">
        <v>0</v>
      </c>
      <c r="N84" s="7" t="b">
        <v>0</v>
      </c>
      <c r="O84" s="7" t="s">
        <v>149</v>
      </c>
      <c r="P84" s="7" t="b">
        <v>0</v>
      </c>
      <c r="Q84" s="7" t="b">
        <v>0</v>
      </c>
      <c r="R84" s="138" t="s">
        <v>149</v>
      </c>
      <c r="S84" s="151" t="s">
        <v>307</v>
      </c>
      <c r="T84" s="121" t="s">
        <v>306</v>
      </c>
      <c r="U84" s="97" t="s">
        <v>305</v>
      </c>
    </row>
    <row r="85" spans="1:21" ht="15" x14ac:dyDescent="0.2">
      <c r="A85" s="61">
        <v>77</v>
      </c>
      <c r="B85" s="65">
        <v>45595</v>
      </c>
      <c r="C85" s="135" t="s">
        <v>77</v>
      </c>
      <c r="D85" s="120" t="str">
        <f t="shared" ref="D85:D91" si="0">$D$84</f>
        <v>data\data_20241022_1853_case4</v>
      </c>
      <c r="E85" s="121" t="s">
        <v>25</v>
      </c>
      <c r="F85" s="7" t="s">
        <v>301</v>
      </c>
      <c r="G85" s="152" t="s">
        <v>310</v>
      </c>
      <c r="H85" s="7" t="s">
        <v>300</v>
      </c>
      <c r="I85" s="7" t="s">
        <v>28</v>
      </c>
      <c r="J85" s="7">
        <v>1E-3</v>
      </c>
      <c r="K85" s="61" t="s">
        <v>271</v>
      </c>
      <c r="L85" s="7">
        <v>0.05</v>
      </c>
      <c r="M85" s="61" t="b">
        <v>0</v>
      </c>
      <c r="N85" s="7" t="b">
        <v>0</v>
      </c>
      <c r="O85" s="7" t="s">
        <v>149</v>
      </c>
      <c r="P85" s="7" t="b">
        <v>0</v>
      </c>
      <c r="Q85" s="7" t="b">
        <v>0</v>
      </c>
      <c r="R85" s="138" t="s">
        <v>149</v>
      </c>
      <c r="T85" s="121" t="s">
        <v>308</v>
      </c>
      <c r="U85" s="7" t="s">
        <v>309</v>
      </c>
    </row>
    <row r="86" spans="1:21" ht="77.25" x14ac:dyDescent="0.25">
      <c r="A86" s="61">
        <v>78</v>
      </c>
      <c r="B86" s="65">
        <v>45596</v>
      </c>
      <c r="C86" s="120" t="s">
        <v>77</v>
      </c>
      <c r="D86" s="120" t="str">
        <f t="shared" si="0"/>
        <v>data\data_20241022_1853_case4</v>
      </c>
      <c r="E86" s="121" t="s">
        <v>25</v>
      </c>
      <c r="F86" s="7" t="s">
        <v>301</v>
      </c>
      <c r="G86" s="152" t="s">
        <v>310</v>
      </c>
      <c r="H86" s="7" t="s">
        <v>300</v>
      </c>
      <c r="I86" s="7" t="s">
        <v>28</v>
      </c>
      <c r="J86" s="7">
        <v>1E-3</v>
      </c>
      <c r="K86" s="61" t="s">
        <v>271</v>
      </c>
      <c r="L86" s="7">
        <v>0.05</v>
      </c>
      <c r="M86" s="61" t="b">
        <v>0</v>
      </c>
      <c r="N86" s="7" t="b">
        <v>0</v>
      </c>
      <c r="O86" s="7" t="s">
        <v>149</v>
      </c>
      <c r="P86" s="7" t="b">
        <v>0</v>
      </c>
      <c r="Q86" s="7" t="b">
        <v>0</v>
      </c>
      <c r="R86" s="138" t="s">
        <v>149</v>
      </c>
      <c r="S86" s="151" t="s">
        <v>312</v>
      </c>
      <c r="T86" s="121" t="s">
        <v>311</v>
      </c>
      <c r="U86" s="97" t="s">
        <v>313</v>
      </c>
    </row>
    <row r="87" spans="1:21" ht="26.25" x14ac:dyDescent="0.25">
      <c r="A87" s="61">
        <v>79</v>
      </c>
      <c r="B87" s="65">
        <v>45596</v>
      </c>
      <c r="C87" s="120" t="s">
        <v>77</v>
      </c>
      <c r="D87" s="120" t="str">
        <f t="shared" si="0"/>
        <v>data\data_20241022_1853_case4</v>
      </c>
      <c r="E87" s="121" t="s">
        <v>25</v>
      </c>
      <c r="F87" s="7" t="s">
        <v>314</v>
      </c>
      <c r="G87" s="152" t="s">
        <v>310</v>
      </c>
      <c r="H87" s="7" t="s">
        <v>300</v>
      </c>
      <c r="I87" s="7" t="s">
        <v>28</v>
      </c>
      <c r="J87" s="7">
        <v>1E-3</v>
      </c>
      <c r="K87" s="61" t="s">
        <v>271</v>
      </c>
      <c r="L87" s="7">
        <v>0.1</v>
      </c>
      <c r="M87" s="61" t="b">
        <v>0</v>
      </c>
      <c r="N87" s="7" t="b">
        <v>0</v>
      </c>
      <c r="O87" s="7" t="s">
        <v>149</v>
      </c>
      <c r="P87" s="7" t="b">
        <v>0</v>
      </c>
      <c r="Q87" s="7" t="b">
        <v>0</v>
      </c>
      <c r="R87" s="138" t="s">
        <v>149</v>
      </c>
      <c r="S87" s="151" t="s">
        <v>316</v>
      </c>
      <c r="T87" s="121" t="s">
        <v>315</v>
      </c>
      <c r="U87" s="97" t="s">
        <v>319</v>
      </c>
    </row>
    <row r="88" spans="1:21" ht="26.25" x14ac:dyDescent="0.25">
      <c r="A88" s="61">
        <v>80</v>
      </c>
      <c r="B88" s="65">
        <v>45596</v>
      </c>
      <c r="C88" s="120" t="s">
        <v>77</v>
      </c>
      <c r="D88" s="120" t="str">
        <f t="shared" si="0"/>
        <v>data\data_20241022_1853_case4</v>
      </c>
      <c r="E88" s="121" t="s">
        <v>25</v>
      </c>
      <c r="F88" s="7" t="s">
        <v>182</v>
      </c>
      <c r="G88" s="152" t="s">
        <v>310</v>
      </c>
      <c r="H88" s="7" t="s">
        <v>300</v>
      </c>
      <c r="I88" s="7" t="s">
        <v>28</v>
      </c>
      <c r="J88" s="7">
        <v>1E-3</v>
      </c>
      <c r="K88" s="61" t="s">
        <v>271</v>
      </c>
      <c r="L88" s="7">
        <v>0.1</v>
      </c>
      <c r="M88" s="61" t="b">
        <v>0</v>
      </c>
      <c r="N88" s="7" t="b">
        <v>0</v>
      </c>
      <c r="O88" s="7" t="s">
        <v>149</v>
      </c>
      <c r="P88" s="7" t="b">
        <v>0</v>
      </c>
      <c r="Q88" s="7" t="b">
        <v>0</v>
      </c>
      <c r="R88" s="138" t="s">
        <v>149</v>
      </c>
      <c r="S88" s="151" t="s">
        <v>317</v>
      </c>
      <c r="T88" s="121" t="s">
        <v>318</v>
      </c>
      <c r="U88" s="97" t="s">
        <v>322</v>
      </c>
    </row>
    <row r="89" spans="1:21" ht="64.5" x14ac:dyDescent="0.25">
      <c r="A89" s="61">
        <v>81</v>
      </c>
      <c r="B89" s="65">
        <v>45596</v>
      </c>
      <c r="C89" s="120" t="s">
        <v>77</v>
      </c>
      <c r="D89" s="120" t="str">
        <f t="shared" si="0"/>
        <v>data\data_20241022_1853_case4</v>
      </c>
      <c r="E89" s="121" t="s">
        <v>25</v>
      </c>
      <c r="F89" s="7" t="s">
        <v>182</v>
      </c>
      <c r="G89" s="152" t="s">
        <v>310</v>
      </c>
      <c r="H89" s="7" t="s">
        <v>300</v>
      </c>
      <c r="I89" s="7" t="s">
        <v>28</v>
      </c>
      <c r="J89" s="7">
        <v>1E-3</v>
      </c>
      <c r="K89" s="61" t="s">
        <v>271</v>
      </c>
      <c r="L89" s="7">
        <v>0.1</v>
      </c>
      <c r="M89" s="61" t="b">
        <v>0</v>
      </c>
      <c r="N89" s="7" t="b">
        <v>1</v>
      </c>
      <c r="O89" s="7" t="s">
        <v>30</v>
      </c>
      <c r="P89" s="7" t="b">
        <v>0</v>
      </c>
      <c r="Q89" s="7" t="b">
        <v>0</v>
      </c>
      <c r="R89" s="120" t="s">
        <v>320</v>
      </c>
      <c r="S89" s="151" t="s">
        <v>321</v>
      </c>
      <c r="T89" s="121" t="s">
        <v>325</v>
      </c>
      <c r="U89" s="97" t="s">
        <v>327</v>
      </c>
    </row>
    <row r="90" spans="1:21" ht="39" x14ac:dyDescent="0.25">
      <c r="A90" s="61">
        <v>82</v>
      </c>
      <c r="B90" s="65">
        <v>45596</v>
      </c>
      <c r="C90" s="120" t="s">
        <v>77</v>
      </c>
      <c r="D90" s="120" t="str">
        <f t="shared" si="0"/>
        <v>data\data_20241022_1853_case4</v>
      </c>
      <c r="E90" s="121" t="s">
        <v>25</v>
      </c>
      <c r="F90" s="7" t="s">
        <v>182</v>
      </c>
      <c r="G90" s="152" t="s">
        <v>310</v>
      </c>
      <c r="H90" s="7" t="s">
        <v>300</v>
      </c>
      <c r="I90" s="7" t="s">
        <v>28</v>
      </c>
      <c r="J90" s="7">
        <v>1E-3</v>
      </c>
      <c r="K90" s="61" t="s">
        <v>271</v>
      </c>
      <c r="L90" s="7">
        <v>0.1</v>
      </c>
      <c r="M90" s="61" t="b">
        <v>0</v>
      </c>
      <c r="N90" s="7" t="b">
        <v>1</v>
      </c>
      <c r="O90" s="7" t="s">
        <v>30</v>
      </c>
      <c r="P90" s="7" t="b">
        <v>0</v>
      </c>
      <c r="Q90" s="7" t="b">
        <v>0</v>
      </c>
      <c r="R90" s="120" t="s">
        <v>320</v>
      </c>
      <c r="S90" s="151" t="s">
        <v>323</v>
      </c>
      <c r="T90" s="121" t="s">
        <v>324</v>
      </c>
      <c r="U90" s="97" t="s">
        <v>326</v>
      </c>
    </row>
    <row r="91" spans="1:21" ht="15" x14ac:dyDescent="0.25">
      <c r="A91" s="18">
        <v>83</v>
      </c>
      <c r="B91" s="65">
        <v>45597</v>
      </c>
      <c r="C91" s="120" t="s">
        <v>77</v>
      </c>
      <c r="D91" s="120" t="str">
        <f t="shared" si="0"/>
        <v>data\data_20241022_1853_case4</v>
      </c>
      <c r="E91" s="121" t="s">
        <v>25</v>
      </c>
      <c r="F91" s="7" t="s">
        <v>182</v>
      </c>
      <c r="G91" s="152"/>
      <c r="K91" s="61"/>
      <c r="M91" s="61"/>
      <c r="S91" s="151"/>
      <c r="U91" s="97"/>
    </row>
    <row r="92" spans="1:21" ht="15" x14ac:dyDescent="0.25">
      <c r="A92" s="7">
        <v>84</v>
      </c>
      <c r="B92" s="65"/>
      <c r="G92" s="152"/>
      <c r="K92" s="61"/>
      <c r="M92" s="61"/>
      <c r="S92" s="151"/>
      <c r="U92" s="97"/>
    </row>
    <row r="93" spans="1:21" ht="15" x14ac:dyDescent="0.2">
      <c r="A93" s="7">
        <v>85</v>
      </c>
      <c r="B93" s="65"/>
    </row>
    <row r="94" spans="1:21" ht="15" x14ac:dyDescent="0.2">
      <c r="A94" s="7">
        <v>86</v>
      </c>
      <c r="B94" s="65"/>
    </row>
    <row r="95" spans="1:21" ht="15" x14ac:dyDescent="0.2">
      <c r="A95" s="7">
        <v>87</v>
      </c>
      <c r="B95" s="65"/>
    </row>
    <row r="96" spans="1:21" ht="15" x14ac:dyDescent="0.2">
      <c r="A96" s="7">
        <v>88</v>
      </c>
      <c r="B96" s="65"/>
    </row>
    <row r="97" spans="1:2" ht="15" x14ac:dyDescent="0.2">
      <c r="A97" s="7">
        <v>89</v>
      </c>
      <c r="B97" s="65"/>
    </row>
    <row r="98" spans="1:2" ht="15" x14ac:dyDescent="0.2">
      <c r="A98" s="7">
        <v>90</v>
      </c>
      <c r="B98" s="65"/>
    </row>
    <row r="99" spans="1:2" ht="15" x14ac:dyDescent="0.2">
      <c r="A99" s="7">
        <v>91</v>
      </c>
      <c r="B99" s="65"/>
    </row>
    <row r="100" spans="1:2" ht="15" x14ac:dyDescent="0.2">
      <c r="B100" s="65"/>
    </row>
    <row r="101" spans="1:2" ht="15" x14ac:dyDescent="0.2">
      <c r="B101" s="65"/>
    </row>
    <row r="115" spans="21:21" ht="60" x14ac:dyDescent="0.2">
      <c r="U115" s="122" t="s">
        <v>185</v>
      </c>
    </row>
  </sheetData>
  <mergeCells count="1">
    <mergeCell ref="F4:R4"/>
  </mergeCells>
  <hyperlinks>
    <hyperlink ref="S8" r:id="rId1" xr:uid="{1AC1FB09-C390-4CE1-A192-F8F0E39889A0}"/>
    <hyperlink ref="S9" r:id="rId2" xr:uid="{B84968AB-1125-4351-90D4-49F9E0BFEB70}"/>
    <hyperlink ref="S10" r:id="rId3" xr:uid="{FE137E17-F7E7-415C-AC5E-ECD8723B37F3}"/>
    <hyperlink ref="S11" r:id="rId4" xr:uid="{70C99D15-01E4-4925-9F01-C3C404C7B106}"/>
    <hyperlink ref="S12" r:id="rId5" xr:uid="{6D0A5100-CE90-4B7F-8608-53A619779195}"/>
    <hyperlink ref="S13" r:id="rId6" display="https://wandb.ai/v-balmer/ShellSim_FFNN_v0" xr:uid="{C71E3DF2-090B-4314-AE25-3843AE49745C}"/>
    <hyperlink ref="S14" r:id="rId7" xr:uid="{8A726763-FA3B-47C9-A997-C4B703A5EB5C}"/>
    <hyperlink ref="S15" r:id="rId8" display="https://wandb.ai/v-balmer/ShellSim_FFNN_v0/runs/e95dfpts" xr:uid="{99458F4E-0892-478F-8DE2-F8B0297E221B}"/>
    <hyperlink ref="S17" r:id="rId9" xr:uid="{0C713365-9527-4C7C-8129-AD5C70C87C87}"/>
    <hyperlink ref="S18" r:id="rId10" display="https://wandb.ai/v-balmer/ShellSim_FFNN_v0/runs/lebj4nry" xr:uid="{5D9572A0-B485-4678-B8BE-D73D71862FD1}"/>
    <hyperlink ref="S19" r:id="rId11" display="https://wandb.ai/v-balmer/ShellSim_FFNN_v0_onlyTest/runs/8b0antrn" xr:uid="{006B7A2E-CAE7-447E-A9CF-5EBCD1D222F6}"/>
    <hyperlink ref="S20" r:id="rId12" display="https://wandb.ai/v-balmer/ShellSim_FFNN_v1_onlyTest/runs/rsn1uai1" xr:uid="{F9F6241D-FF87-463C-B925-495F66081002}"/>
    <hyperlink ref="S21" r:id="rId13" display="https://wandb.ai/v-balmer/ShellSim_FFNN_v1_onlyTest/runs/29gtwcpv" xr:uid="{9EB22238-163E-4778-BACA-16F31C4BE3F8}"/>
    <hyperlink ref="S22" r:id="rId14" display="https://wandb.ai/v-balmer/ShellSim_FFNN_v1_onlyTest/runs/29gtwcpv" xr:uid="{5A80A6CC-1AAC-460C-8311-F9EA821AF29C}"/>
    <hyperlink ref="S24" r:id="rId15" display="https://wandb.ai/v-balmer/ShellSim_FFNN_v1/runs/uuz5hazi" xr:uid="{D08CA047-C907-455E-BC52-C802AC350C88}"/>
    <hyperlink ref="S25" r:id="rId16" display="https://wandb.ai/v-balmer/ShellSim_FFNN_v1/runs/zk6gpzk5" xr:uid="{DA0D07DB-3DA4-43B2-A792-EB4057390C92}"/>
    <hyperlink ref="S26" r:id="rId17" display="https://wandb.ai/v-balmer/ShellSim_FFNN_v1/runs/svbryhr6" xr:uid="{EFAAFF0D-7C50-4B4E-ADC0-B8D3D207384D}"/>
    <hyperlink ref="S27" r:id="rId18" display="https://wandb.ai/v-balmer/ShellSim_FFNN_v1/runs/c2d450jv" xr:uid="{44E9941C-7203-4260-B92B-8BE645C87303}"/>
    <hyperlink ref="S28" r:id="rId19" xr:uid="{E2EE2DD1-B55E-4042-8E3D-D56146CF28C9}"/>
    <hyperlink ref="S29" r:id="rId20" display="https://wandb.ai/v-balmer/ShellSim_FFNN_v1_onlyTest/runs/kjq6ntgx" xr:uid="{9E92D66E-6801-407A-9A02-22DA106183D8}"/>
    <hyperlink ref="S30" r:id="rId21" display="https://wandb.ai/v-balmer/ShellSim_FFNN_v1_onlyTest/runs/kjq6ntgx" xr:uid="{CCEFCE74-81CB-4F74-B3B5-766493391C2F}"/>
    <hyperlink ref="S31" r:id="rId22" display="https://wandb.ai/v-balmer/ShellSim_FFNN_v1_onlyTest/runs/0sjni3j7" xr:uid="{20322344-A3EF-4028-A100-617F97C54B1C}"/>
    <hyperlink ref="S33" r:id="rId23" xr:uid="{F4D73776-572C-401D-8455-C7E3ED48911E}"/>
    <hyperlink ref="S34" r:id="rId24" display="https://wandb.ai/v-balmer/ShellSim_FFNN_v1_onlyTest/runs/iuvxry3d" xr:uid="{A4634724-6258-4C0B-8D07-F1AEF46C2A8E}"/>
    <hyperlink ref="S35" r:id="rId25" display="https://wandb.ai/v-balmer/ShellSim_FFNN_v1_onlyTest/runs/psk6qg4d" xr:uid="{0B2AA2A0-F0C0-473D-842E-77B11A18EBD0}"/>
    <hyperlink ref="S36" r:id="rId26" display="https://wandb.ai/v-balmer/ShellSim_FFNN_v1_onlyTest/runs/a5xruwf3" xr:uid="{CB908B25-332C-4ED9-87C6-B16C04915734}"/>
    <hyperlink ref="S38" r:id="rId27" display="https://wandb.ai/v-balmer/ShellSim_FFNN_v1/runs/lx8kaom2" xr:uid="{2267326A-2971-49BF-A98F-D246D9F7B0EB}"/>
    <hyperlink ref="S39" r:id="rId28" display="https://wandb.ai/v-balmer/ShellSim_FFNN_v1/runs/t6uajgki" xr:uid="{747DFD89-C4AB-4B8E-93C2-B318DCF355CA}"/>
    <hyperlink ref="S40" r:id="rId29" xr:uid="{DEC6858B-6A56-477E-B858-27D6EBC78D4B}"/>
    <hyperlink ref="S41" r:id="rId30" display="https://wandb.ai/v-balmer/ShellSim_FFNN_v1/runs/q38teqph" xr:uid="{2EE7764C-0384-492D-854D-272DC7C8D020}"/>
    <hyperlink ref="S42" r:id="rId31" xr:uid="{904F9EC6-BB28-411A-8C58-C9232143A3B9}"/>
    <hyperlink ref="S43" r:id="rId32" display="https://wandb.ai/v-balmer/ShellSim_FFNN_v1/runs/4gphe8um" xr:uid="{0DE5D73E-1985-498B-90AD-452A29EC3895}"/>
    <hyperlink ref="S44" r:id="rId33" xr:uid="{EBCB48C2-AA35-43AA-9D38-AF95771FF2EF}"/>
    <hyperlink ref="S45" r:id="rId34" xr:uid="{55D73127-AD3E-4C2A-BCD8-56CDB939B29C}"/>
    <hyperlink ref="S46" r:id="rId35" xr:uid="{86D33757-B1AC-4139-B5CC-D36D4B4D63D9}"/>
    <hyperlink ref="S47" r:id="rId36" display="https://wandb.ai/v-balmer/ShellSim_FFNN_v1/runs/db4rr1z1" xr:uid="{546C357A-4228-4DBA-871B-FC8605AC3811}"/>
    <hyperlink ref="S48" r:id="rId37" display="https://wandb.ai/v-balmer/ShellSim_FFNN_v1/runs/d48wntue" xr:uid="{FB48E5B2-FB2C-4C0E-85BD-BAE690443552}"/>
    <hyperlink ref="S49" r:id="rId38" display="https://wandb.ai/v-balmer/ShellSim_FFNN_v1/runs/q76072xt" xr:uid="{DB5D7724-527A-426F-94F5-984CE695D1CE}"/>
    <hyperlink ref="S50" r:id="rId39" display="https://wandb.ai/v-balmer/ShellSim_FFNN_v1/runs/3zspkb3j" xr:uid="{15646C65-CA20-45C8-A8F3-C57D44F6A88A}"/>
    <hyperlink ref="S52" r:id="rId40" display="https://wandb.ai/v-balmer/ShellSim_FFNN_v1/runs/5wtj4idq" xr:uid="{CFD3C61F-C402-4A57-A869-6B3F95F60A7F}"/>
    <hyperlink ref="S54" r:id="rId41" display="https://wandb.ai/v-balmer/ShellSim_FFNN_v1/runs/qe799sdo" xr:uid="{E4F70A35-5A6C-42D2-9FC9-FAE168FAB0E5}"/>
    <hyperlink ref="S55" r:id="rId42" display="https://wandb.ai/v-balmer/ShellSim_FFNN_v1/runs/jgqwi03u" xr:uid="{9B9AF052-B575-4588-AB21-447D95BBBF57}"/>
    <hyperlink ref="S56" r:id="rId43" display="https://wandb.ai/v-balmer/ShellSim_FFNN_v1/runs/mj8xakyj" xr:uid="{E538B203-0464-40A8-A982-5A576B99CA19}"/>
    <hyperlink ref="S58" r:id="rId44" xr:uid="{C2A47073-A3A4-44B7-AA06-885156CDCA6D}"/>
    <hyperlink ref="S59" r:id="rId45" display="https://wandb.ai/v-balmer/ShellSim_FFNN_v1/runs/ost6ma9h" xr:uid="{C1882EF6-5CFF-49CD-87C5-950C78B87E3E}"/>
    <hyperlink ref="S60" r:id="rId46" xr:uid="{EE1CDC05-85C4-4C89-92D2-F961168A7600}"/>
    <hyperlink ref="S61" r:id="rId47" xr:uid="{0F3CDE7C-0C06-46FB-B04B-97B60EB12213}"/>
    <hyperlink ref="S62" r:id="rId48" display="https://wandb.ai/v-balmer/ShellSim_FFNN_v1/runs/f4r8f9ne" xr:uid="{36281968-7144-4E45-B60A-76A0DF281781}"/>
    <hyperlink ref="S63" r:id="rId49" display="https://wandb.ai/v-balmer/ShellSim_FFNN_v1/runs/r9gmzow4" xr:uid="{96F1D73E-C840-44C4-8670-0B1298A56ADB}"/>
    <hyperlink ref="S64" r:id="rId50" xr:uid="{CEF48ADD-7407-483B-8613-483CC5E6982D}"/>
    <hyperlink ref="S65" r:id="rId51" xr:uid="{A21CCD1F-38B7-47CB-9A3E-30BF6A86BB55}"/>
    <hyperlink ref="S66" r:id="rId52" display="https://wandb.ai/v-balmer/ShellSim_FFNN_v1/runs/36tika5w" xr:uid="{8F5DAA6F-24F8-405E-9E59-18ECB525FBCC}"/>
    <hyperlink ref="S67" r:id="rId53" display="https://wandb.ai/v-balmer/ShellSim_FFNN_v1/runs/2hrsaiee" xr:uid="{72C0DA87-7780-4496-B298-A875216FB7AE}"/>
    <hyperlink ref="S68" r:id="rId54" display="https://wandb.ai/v-balmer/ShellSim_FFNN_v1/runs/mxwvxnqe" xr:uid="{00C6E267-E005-46F1-A13A-F312CECC7AB5}"/>
    <hyperlink ref="S69" r:id="rId55" xr:uid="{0FCA229C-6076-492E-9BDF-7E80709C2860}"/>
    <hyperlink ref="S70" r:id="rId56" display="https://wandb.ai/v-balmer/ShellSim_FFNN_v1/runs/zvq5p25w" xr:uid="{E7CD1B5F-2BF5-4A30-BC35-F9EBAD9E5527}"/>
    <hyperlink ref="S71" r:id="rId57" display="https://wandb.ai/v-balmer/ShellSim_FFNN_v1/runs/pis7pg7t" xr:uid="{73D6529C-3213-47E6-B42B-B2041AD81446}"/>
    <hyperlink ref="S73" r:id="rId58" display="https://wandb.ai/v-balmer/ShellSim_FFNN_v1/runs/4xeuh0a6" xr:uid="{D4E433B0-41F5-4335-8AD8-F2C28BB61B0D}"/>
    <hyperlink ref="S74" r:id="rId59" display="https://wandb.ai/v-balmer/ShellSim_FFNN_v1_onlyTest/runs/ajkavowk" xr:uid="{A58D74E9-4E1B-40A1-B52B-5361395836C0}"/>
    <hyperlink ref="S75" r:id="rId60" display="https://wandb.ai/v-balmer/ShellSim_FFNN_v1/runs/640owuhf" xr:uid="{7BD08672-E73D-4CE8-9965-7752D5C00DA9}"/>
    <hyperlink ref="S76" r:id="rId61" display="https://wandb.ai/v-balmer/ShellSim_FFNN_v1/runs/kjfd3d2e" xr:uid="{8FBA5273-E461-497A-90E4-D43586E75EA0}"/>
    <hyperlink ref="S79" r:id="rId62" display="https://wandb.ai/v-balmer/ShellSim_FFNN_v1/runs/34dqye6b_x000a_" xr:uid="{0B577872-04B3-4574-A76C-5F66733B54A3}"/>
    <hyperlink ref="S80" r:id="rId63" display="https://wandb.ai/v-balmer/ShellSim_FFNN_v1/runs/m3lod707_x000a_" xr:uid="{A14A096F-1D1A-4D08-92D4-1C8AB66E3C28}"/>
    <hyperlink ref="S81" r:id="rId64" display="https://wandb.ai/v-balmer/ShellSim_FFNN_v1/runs/42dr4xe2" xr:uid="{FA1FD708-287E-44B0-8BC7-B0248961D54D}"/>
    <hyperlink ref="S82" r:id="rId65" xr:uid="{3426CFAD-DE00-491D-B906-7A8DA9708585}"/>
    <hyperlink ref="S83" r:id="rId66" xr:uid="{46DA68EC-BE4D-42F7-8826-1F76C19CA2F5}"/>
    <hyperlink ref="S84" r:id="rId67" xr:uid="{940743FD-C525-40F0-B827-8DC079EE5809}"/>
    <hyperlink ref="S86" r:id="rId68" xr:uid="{CE55024D-366F-4FAE-85B8-B9AE7624BFF6}"/>
    <hyperlink ref="S87" r:id="rId69" xr:uid="{A0FBFC89-9790-403D-A3BC-9A5DE822BB71}"/>
    <hyperlink ref="S88" r:id="rId70" xr:uid="{8CA70E99-D497-498F-B978-9A3989DB4991}"/>
    <hyperlink ref="S89" r:id="rId71" xr:uid="{B60C5841-9BE6-473C-906E-AE9EA6028F41}"/>
  </hyperlinks>
  <pageMargins left="0.7" right="0.7" top="0.75" bottom="0.75" header="0.3" footer="0.3"/>
  <pageSetup paperSize="9" orientation="portrait" r:id="rId72"/>
  <drawing r:id="rId7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Balmer  Vera</dc:creator>
  <cp:lastModifiedBy>Balmer  Vera</cp:lastModifiedBy>
  <dcterms:created xsi:type="dcterms:W3CDTF">2024-10-03T08:05:31Z</dcterms:created>
  <dcterms:modified xsi:type="dcterms:W3CDTF">2024-11-05T09:33:41Z</dcterms:modified>
</cp:coreProperties>
</file>